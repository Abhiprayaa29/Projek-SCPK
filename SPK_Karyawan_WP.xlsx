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D4845CC-5AE0-455E-B5F4-8D309C0124D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Asumsi &amp; Bobot" sheetId="1" r:id="rId1"/>
    <sheet name="Data Mentah" sheetId="2" r:id="rId2"/>
    <sheet name="Normalisasi" sheetId="3" r:id="rId3"/>
    <sheet name="Vektor S &amp; V" sheetId="4" r:id="rId4"/>
    <sheet name="Hasil &amp; Bonus" sheetId="5" r:id="rId5"/>
    <sheet name="Rangkuma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6" l="1"/>
  <c r="B6" i="6"/>
  <c r="B4" i="6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B310" i="5"/>
  <c r="E309" i="5"/>
  <c r="D309" i="5"/>
  <c r="C309" i="5"/>
  <c r="B309" i="5"/>
  <c r="E308" i="5"/>
  <c r="D308" i="5"/>
  <c r="C308" i="5"/>
  <c r="B308" i="5"/>
  <c r="E307" i="5"/>
  <c r="D307" i="5"/>
  <c r="C307" i="5"/>
  <c r="B307" i="5"/>
  <c r="E306" i="5"/>
  <c r="D306" i="5"/>
  <c r="C306" i="5"/>
  <c r="B306" i="5"/>
  <c r="E305" i="5"/>
  <c r="D305" i="5"/>
  <c r="C305" i="5"/>
  <c r="B305" i="5"/>
  <c r="E304" i="5"/>
  <c r="D304" i="5"/>
  <c r="C304" i="5"/>
  <c r="B304" i="5"/>
  <c r="E303" i="5"/>
  <c r="D303" i="5"/>
  <c r="C303" i="5"/>
  <c r="B303" i="5"/>
  <c r="E302" i="5"/>
  <c r="D302" i="5"/>
  <c r="C302" i="5"/>
  <c r="B302" i="5"/>
  <c r="E301" i="5"/>
  <c r="D301" i="5"/>
  <c r="C301" i="5"/>
  <c r="B301" i="5"/>
  <c r="E300" i="5"/>
  <c r="D300" i="5"/>
  <c r="C300" i="5"/>
  <c r="B300" i="5"/>
  <c r="E299" i="5"/>
  <c r="D299" i="5"/>
  <c r="C299" i="5"/>
  <c r="B299" i="5"/>
  <c r="E298" i="5"/>
  <c r="D298" i="5"/>
  <c r="C298" i="5"/>
  <c r="B298" i="5"/>
  <c r="E297" i="5"/>
  <c r="D297" i="5"/>
  <c r="C297" i="5"/>
  <c r="B297" i="5"/>
  <c r="E296" i="5"/>
  <c r="D296" i="5"/>
  <c r="C296" i="5"/>
  <c r="B296" i="5"/>
  <c r="E295" i="5"/>
  <c r="D295" i="5"/>
  <c r="C295" i="5"/>
  <c r="B295" i="5"/>
  <c r="E294" i="5"/>
  <c r="D294" i="5"/>
  <c r="C294" i="5"/>
  <c r="B294" i="5"/>
  <c r="E293" i="5"/>
  <c r="D293" i="5"/>
  <c r="C293" i="5"/>
  <c r="B293" i="5"/>
  <c r="E292" i="5"/>
  <c r="D292" i="5"/>
  <c r="C292" i="5"/>
  <c r="B292" i="5"/>
  <c r="E291" i="5"/>
  <c r="D291" i="5"/>
  <c r="C291" i="5"/>
  <c r="B291" i="5"/>
  <c r="E290" i="5"/>
  <c r="D290" i="5"/>
  <c r="C290" i="5"/>
  <c r="B290" i="5"/>
  <c r="E289" i="5"/>
  <c r="D289" i="5"/>
  <c r="C289" i="5"/>
  <c r="B289" i="5"/>
  <c r="E288" i="5"/>
  <c r="D288" i="5"/>
  <c r="C288" i="5"/>
  <c r="B288" i="5"/>
  <c r="E287" i="5"/>
  <c r="D287" i="5"/>
  <c r="C287" i="5"/>
  <c r="B287" i="5"/>
  <c r="E286" i="5"/>
  <c r="D286" i="5"/>
  <c r="C286" i="5"/>
  <c r="B286" i="5"/>
  <c r="E285" i="5"/>
  <c r="D285" i="5"/>
  <c r="C285" i="5"/>
  <c r="B285" i="5"/>
  <c r="E284" i="5"/>
  <c r="D284" i="5"/>
  <c r="C284" i="5"/>
  <c r="B284" i="5"/>
  <c r="E283" i="5"/>
  <c r="D283" i="5"/>
  <c r="C283" i="5"/>
  <c r="B283" i="5"/>
  <c r="E282" i="5"/>
  <c r="D282" i="5"/>
  <c r="C282" i="5"/>
  <c r="B282" i="5"/>
  <c r="E281" i="5"/>
  <c r="D281" i="5"/>
  <c r="C281" i="5"/>
  <c r="B281" i="5"/>
  <c r="E280" i="5"/>
  <c r="D280" i="5"/>
  <c r="C280" i="5"/>
  <c r="B280" i="5"/>
  <c r="E279" i="5"/>
  <c r="D279" i="5"/>
  <c r="C279" i="5"/>
  <c r="B279" i="5"/>
  <c r="E278" i="5"/>
  <c r="D278" i="5"/>
  <c r="C278" i="5"/>
  <c r="B278" i="5"/>
  <c r="E277" i="5"/>
  <c r="D277" i="5"/>
  <c r="C277" i="5"/>
  <c r="B277" i="5"/>
  <c r="E276" i="5"/>
  <c r="D276" i="5"/>
  <c r="C276" i="5"/>
  <c r="B276" i="5"/>
  <c r="E275" i="5"/>
  <c r="D275" i="5"/>
  <c r="C275" i="5"/>
  <c r="B275" i="5"/>
  <c r="E274" i="5"/>
  <c r="D274" i="5"/>
  <c r="C274" i="5"/>
  <c r="B274" i="5"/>
  <c r="E273" i="5"/>
  <c r="D273" i="5"/>
  <c r="C273" i="5"/>
  <c r="B273" i="5"/>
  <c r="E272" i="5"/>
  <c r="D272" i="5"/>
  <c r="C272" i="5"/>
  <c r="B272" i="5"/>
  <c r="E271" i="5"/>
  <c r="D271" i="5"/>
  <c r="C271" i="5"/>
  <c r="B271" i="5"/>
  <c r="E270" i="5"/>
  <c r="D270" i="5"/>
  <c r="C270" i="5"/>
  <c r="B270" i="5"/>
  <c r="E269" i="5"/>
  <c r="D269" i="5"/>
  <c r="C269" i="5"/>
  <c r="B269" i="5"/>
  <c r="E268" i="5"/>
  <c r="D268" i="5"/>
  <c r="C268" i="5"/>
  <c r="B268" i="5"/>
  <c r="E267" i="5"/>
  <c r="D267" i="5"/>
  <c r="C267" i="5"/>
  <c r="B267" i="5"/>
  <c r="E266" i="5"/>
  <c r="D266" i="5"/>
  <c r="C266" i="5"/>
  <c r="B266" i="5"/>
  <c r="E265" i="5"/>
  <c r="D265" i="5"/>
  <c r="C265" i="5"/>
  <c r="B265" i="5"/>
  <c r="E264" i="5"/>
  <c r="D264" i="5"/>
  <c r="C264" i="5"/>
  <c r="B264" i="5"/>
  <c r="E263" i="5"/>
  <c r="D263" i="5"/>
  <c r="C263" i="5"/>
  <c r="B263" i="5"/>
  <c r="E262" i="5"/>
  <c r="D262" i="5"/>
  <c r="C262" i="5"/>
  <c r="B262" i="5"/>
  <c r="E261" i="5"/>
  <c r="D261" i="5"/>
  <c r="C261" i="5"/>
  <c r="B261" i="5"/>
  <c r="E260" i="5"/>
  <c r="D260" i="5"/>
  <c r="C260" i="5"/>
  <c r="B260" i="5"/>
  <c r="E259" i="5"/>
  <c r="D259" i="5"/>
  <c r="C259" i="5"/>
  <c r="B259" i="5"/>
  <c r="E258" i="5"/>
  <c r="D258" i="5"/>
  <c r="C258" i="5"/>
  <c r="B258" i="5"/>
  <c r="E257" i="5"/>
  <c r="D257" i="5"/>
  <c r="C257" i="5"/>
  <c r="B257" i="5"/>
  <c r="E256" i="5"/>
  <c r="D256" i="5"/>
  <c r="C256" i="5"/>
  <c r="B256" i="5"/>
  <c r="E255" i="5"/>
  <c r="D255" i="5"/>
  <c r="C255" i="5"/>
  <c r="B255" i="5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9" i="5" s="1"/>
  <c r="B228" i="4"/>
  <c r="B228" i="5" s="1"/>
  <c r="B227" i="4"/>
  <c r="B227" i="5" s="1"/>
  <c r="B226" i="4"/>
  <c r="B226" i="5" s="1"/>
  <c r="B187" i="4"/>
  <c r="B187" i="5" s="1"/>
  <c r="B186" i="4"/>
  <c r="B186" i="5" s="1"/>
  <c r="B185" i="4"/>
  <c r="B185" i="5" s="1"/>
  <c r="B184" i="4"/>
  <c r="B184" i="5" s="1"/>
  <c r="B183" i="4"/>
  <c r="B183" i="5" s="1"/>
  <c r="B182" i="4"/>
  <c r="B182" i="5" s="1"/>
  <c r="B181" i="4"/>
  <c r="B181" i="5" s="1"/>
  <c r="B180" i="4"/>
  <c r="B180" i="5" s="1"/>
  <c r="B179" i="4"/>
  <c r="B179" i="5" s="1"/>
  <c r="B178" i="4"/>
  <c r="B178" i="5" s="1"/>
  <c r="B177" i="4"/>
  <c r="B177" i="5" s="1"/>
  <c r="B176" i="4"/>
  <c r="B176" i="5" s="1"/>
  <c r="B175" i="4"/>
  <c r="B175" i="5" s="1"/>
  <c r="B174" i="4"/>
  <c r="B174" i="5" s="1"/>
  <c r="B173" i="4"/>
  <c r="B173" i="5" s="1"/>
  <c r="B172" i="4"/>
  <c r="B172" i="5" s="1"/>
  <c r="B171" i="4"/>
  <c r="B171" i="5" s="1"/>
  <c r="B170" i="4"/>
  <c r="B170" i="5" s="1"/>
  <c r="B169" i="4"/>
  <c r="B169" i="5" s="1"/>
  <c r="B168" i="4"/>
  <c r="B168" i="5" s="1"/>
  <c r="B167" i="4"/>
  <c r="B167" i="5" s="1"/>
  <c r="B166" i="4"/>
  <c r="B166" i="5" s="1"/>
  <c r="B165" i="4"/>
  <c r="B165" i="5" s="1"/>
  <c r="B164" i="4"/>
  <c r="B164" i="5" s="1"/>
  <c r="B163" i="4"/>
  <c r="B163" i="5" s="1"/>
  <c r="B162" i="4"/>
  <c r="B162" i="5" s="1"/>
  <c r="B161" i="4"/>
  <c r="B161" i="5" s="1"/>
  <c r="B160" i="4"/>
  <c r="B160" i="5" s="1"/>
  <c r="B159" i="4"/>
  <c r="B159" i="5" s="1"/>
  <c r="B158" i="4"/>
  <c r="B158" i="5" s="1"/>
  <c r="G375" i="3"/>
  <c r="F375" i="3"/>
  <c r="E375" i="3"/>
  <c r="I375" i="3" s="1"/>
  <c r="D375" i="4" s="1"/>
  <c r="D375" i="3"/>
  <c r="L375" i="3" s="1"/>
  <c r="G375" i="4" s="1"/>
  <c r="C375" i="3"/>
  <c r="B375" i="3"/>
  <c r="B375" i="4" s="1"/>
  <c r="B375" i="5" s="1"/>
  <c r="G374" i="3"/>
  <c r="F374" i="3"/>
  <c r="E374" i="3"/>
  <c r="I374" i="3" s="1"/>
  <c r="D374" i="4" s="1"/>
  <c r="D374" i="3"/>
  <c r="L374" i="3" s="1"/>
  <c r="G374" i="4" s="1"/>
  <c r="C374" i="3"/>
  <c r="B374" i="3"/>
  <c r="B374" i="4" s="1"/>
  <c r="B374" i="5" s="1"/>
  <c r="G373" i="3"/>
  <c r="F373" i="3"/>
  <c r="E373" i="3"/>
  <c r="I373" i="3" s="1"/>
  <c r="D373" i="4" s="1"/>
  <c r="D373" i="3"/>
  <c r="L373" i="3" s="1"/>
  <c r="G373" i="4" s="1"/>
  <c r="C373" i="3"/>
  <c r="B373" i="3"/>
  <c r="B373" i="4" s="1"/>
  <c r="B373" i="5" s="1"/>
  <c r="G372" i="3"/>
  <c r="F372" i="3"/>
  <c r="E372" i="3"/>
  <c r="I372" i="3" s="1"/>
  <c r="D372" i="4" s="1"/>
  <c r="D372" i="3"/>
  <c r="L372" i="3" s="1"/>
  <c r="G372" i="4" s="1"/>
  <c r="C372" i="3"/>
  <c r="B372" i="3"/>
  <c r="B372" i="4" s="1"/>
  <c r="B372" i="5" s="1"/>
  <c r="G371" i="3"/>
  <c r="F371" i="3"/>
  <c r="E371" i="3"/>
  <c r="I371" i="3" s="1"/>
  <c r="D371" i="4" s="1"/>
  <c r="D371" i="3"/>
  <c r="L371" i="3" s="1"/>
  <c r="G371" i="4" s="1"/>
  <c r="C371" i="3"/>
  <c r="B371" i="3"/>
  <c r="B371" i="4" s="1"/>
  <c r="B371" i="5" s="1"/>
  <c r="G370" i="3"/>
  <c r="F370" i="3"/>
  <c r="E370" i="3"/>
  <c r="I370" i="3" s="1"/>
  <c r="D370" i="4" s="1"/>
  <c r="D370" i="3"/>
  <c r="L370" i="3" s="1"/>
  <c r="G370" i="4" s="1"/>
  <c r="C370" i="3"/>
  <c r="B370" i="3"/>
  <c r="B370" i="4" s="1"/>
  <c r="B370" i="5" s="1"/>
  <c r="G369" i="3"/>
  <c r="F369" i="3"/>
  <c r="E369" i="3"/>
  <c r="I369" i="3" s="1"/>
  <c r="D369" i="4" s="1"/>
  <c r="D369" i="3"/>
  <c r="L369" i="3" s="1"/>
  <c r="G369" i="4" s="1"/>
  <c r="C369" i="3"/>
  <c r="B369" i="3"/>
  <c r="B369" i="4" s="1"/>
  <c r="B369" i="5" s="1"/>
  <c r="G368" i="3"/>
  <c r="F368" i="3"/>
  <c r="E368" i="3"/>
  <c r="I368" i="3" s="1"/>
  <c r="D368" i="4" s="1"/>
  <c r="D368" i="3"/>
  <c r="L368" i="3" s="1"/>
  <c r="G368" i="4" s="1"/>
  <c r="C368" i="3"/>
  <c r="B368" i="3"/>
  <c r="B368" i="4" s="1"/>
  <c r="B368" i="5" s="1"/>
  <c r="G367" i="3"/>
  <c r="F367" i="3"/>
  <c r="E367" i="3"/>
  <c r="I367" i="3" s="1"/>
  <c r="D367" i="4" s="1"/>
  <c r="D367" i="3"/>
  <c r="L367" i="3" s="1"/>
  <c r="G367" i="4" s="1"/>
  <c r="C367" i="3"/>
  <c r="B367" i="3"/>
  <c r="B367" i="4" s="1"/>
  <c r="B367" i="5" s="1"/>
  <c r="G366" i="3"/>
  <c r="F366" i="3"/>
  <c r="E366" i="3"/>
  <c r="I366" i="3" s="1"/>
  <c r="D366" i="4" s="1"/>
  <c r="D366" i="3"/>
  <c r="L366" i="3" s="1"/>
  <c r="G366" i="4" s="1"/>
  <c r="C366" i="3"/>
  <c r="B366" i="3"/>
  <c r="B366" i="4" s="1"/>
  <c r="B366" i="5" s="1"/>
  <c r="G365" i="3"/>
  <c r="F365" i="3"/>
  <c r="E365" i="3"/>
  <c r="I365" i="3" s="1"/>
  <c r="D365" i="4" s="1"/>
  <c r="D365" i="3"/>
  <c r="L365" i="3" s="1"/>
  <c r="G365" i="4" s="1"/>
  <c r="C365" i="3"/>
  <c r="B365" i="3"/>
  <c r="B365" i="4" s="1"/>
  <c r="B365" i="5" s="1"/>
  <c r="G364" i="3"/>
  <c r="F364" i="3"/>
  <c r="E364" i="3"/>
  <c r="I364" i="3" s="1"/>
  <c r="D364" i="4" s="1"/>
  <c r="D364" i="3"/>
  <c r="L364" i="3" s="1"/>
  <c r="G364" i="4" s="1"/>
  <c r="C364" i="3"/>
  <c r="B364" i="3"/>
  <c r="B364" i="4" s="1"/>
  <c r="B364" i="5" s="1"/>
  <c r="G363" i="3"/>
  <c r="F363" i="3"/>
  <c r="E363" i="3"/>
  <c r="I363" i="3" s="1"/>
  <c r="D363" i="4" s="1"/>
  <c r="D363" i="3"/>
  <c r="L363" i="3" s="1"/>
  <c r="G363" i="4" s="1"/>
  <c r="C363" i="3"/>
  <c r="B363" i="3"/>
  <c r="B363" i="4" s="1"/>
  <c r="B363" i="5" s="1"/>
  <c r="G362" i="3"/>
  <c r="F362" i="3"/>
  <c r="E362" i="3"/>
  <c r="I362" i="3" s="1"/>
  <c r="D362" i="4" s="1"/>
  <c r="D362" i="3"/>
  <c r="L362" i="3" s="1"/>
  <c r="G362" i="4" s="1"/>
  <c r="C362" i="3"/>
  <c r="B362" i="3"/>
  <c r="B362" i="4" s="1"/>
  <c r="B362" i="5" s="1"/>
  <c r="G361" i="3"/>
  <c r="F361" i="3"/>
  <c r="E361" i="3"/>
  <c r="I361" i="3" s="1"/>
  <c r="D361" i="4" s="1"/>
  <c r="D361" i="3"/>
  <c r="L361" i="3" s="1"/>
  <c r="G361" i="4" s="1"/>
  <c r="C361" i="3"/>
  <c r="B361" i="3"/>
  <c r="B361" i="4" s="1"/>
  <c r="B361" i="5" s="1"/>
  <c r="G360" i="3"/>
  <c r="F360" i="3"/>
  <c r="E360" i="3"/>
  <c r="I360" i="3" s="1"/>
  <c r="D360" i="4" s="1"/>
  <c r="D360" i="3"/>
  <c r="L360" i="3" s="1"/>
  <c r="G360" i="4" s="1"/>
  <c r="C360" i="3"/>
  <c r="B360" i="3"/>
  <c r="B360" i="4" s="1"/>
  <c r="B360" i="5" s="1"/>
  <c r="G359" i="3"/>
  <c r="F359" i="3"/>
  <c r="E359" i="3"/>
  <c r="I359" i="3" s="1"/>
  <c r="D359" i="4" s="1"/>
  <c r="D359" i="3"/>
  <c r="L359" i="3" s="1"/>
  <c r="G359" i="4" s="1"/>
  <c r="C359" i="3"/>
  <c r="B359" i="3"/>
  <c r="B359" i="4" s="1"/>
  <c r="B359" i="5" s="1"/>
  <c r="G358" i="3"/>
  <c r="F358" i="3"/>
  <c r="E358" i="3"/>
  <c r="I358" i="3" s="1"/>
  <c r="D358" i="4" s="1"/>
  <c r="D358" i="3"/>
  <c r="L358" i="3" s="1"/>
  <c r="G358" i="4" s="1"/>
  <c r="C358" i="3"/>
  <c r="B358" i="3"/>
  <c r="B358" i="4" s="1"/>
  <c r="B358" i="5" s="1"/>
  <c r="G357" i="3"/>
  <c r="F357" i="3"/>
  <c r="E357" i="3"/>
  <c r="I357" i="3" s="1"/>
  <c r="D357" i="4" s="1"/>
  <c r="D357" i="3"/>
  <c r="L357" i="3" s="1"/>
  <c r="G357" i="4" s="1"/>
  <c r="C357" i="3"/>
  <c r="B357" i="3"/>
  <c r="B357" i="4" s="1"/>
  <c r="B357" i="5" s="1"/>
  <c r="G356" i="3"/>
  <c r="F356" i="3"/>
  <c r="E356" i="3"/>
  <c r="I356" i="3" s="1"/>
  <c r="D356" i="4" s="1"/>
  <c r="D356" i="3"/>
  <c r="L356" i="3" s="1"/>
  <c r="G356" i="4" s="1"/>
  <c r="C356" i="3"/>
  <c r="B356" i="3"/>
  <c r="B356" i="4" s="1"/>
  <c r="B356" i="5" s="1"/>
  <c r="G355" i="3"/>
  <c r="F355" i="3"/>
  <c r="E355" i="3"/>
  <c r="I355" i="3" s="1"/>
  <c r="D355" i="4" s="1"/>
  <c r="D355" i="3"/>
  <c r="L355" i="3" s="1"/>
  <c r="G355" i="4" s="1"/>
  <c r="C355" i="3"/>
  <c r="B355" i="3"/>
  <c r="B355" i="4" s="1"/>
  <c r="B355" i="5" s="1"/>
  <c r="G354" i="3"/>
  <c r="F354" i="3"/>
  <c r="E354" i="3"/>
  <c r="I354" i="3" s="1"/>
  <c r="D354" i="4" s="1"/>
  <c r="D354" i="3"/>
  <c r="L354" i="3" s="1"/>
  <c r="G354" i="4" s="1"/>
  <c r="C354" i="3"/>
  <c r="B354" i="3"/>
  <c r="B354" i="4" s="1"/>
  <c r="B354" i="5" s="1"/>
  <c r="G353" i="3"/>
  <c r="F353" i="3"/>
  <c r="E353" i="3"/>
  <c r="I353" i="3" s="1"/>
  <c r="D353" i="4" s="1"/>
  <c r="D353" i="3"/>
  <c r="L353" i="3" s="1"/>
  <c r="G353" i="4" s="1"/>
  <c r="C353" i="3"/>
  <c r="B353" i="3"/>
  <c r="B353" i="4" s="1"/>
  <c r="B353" i="5" s="1"/>
  <c r="G352" i="3"/>
  <c r="F352" i="3"/>
  <c r="E352" i="3"/>
  <c r="I352" i="3" s="1"/>
  <c r="D352" i="4" s="1"/>
  <c r="D352" i="3"/>
  <c r="L352" i="3" s="1"/>
  <c r="G352" i="4" s="1"/>
  <c r="C352" i="3"/>
  <c r="B352" i="3"/>
  <c r="B352" i="4" s="1"/>
  <c r="B352" i="5" s="1"/>
  <c r="G351" i="3"/>
  <c r="F351" i="3"/>
  <c r="E351" i="3"/>
  <c r="I351" i="3" s="1"/>
  <c r="D351" i="4" s="1"/>
  <c r="D351" i="3"/>
  <c r="L351" i="3" s="1"/>
  <c r="G351" i="4" s="1"/>
  <c r="C351" i="3"/>
  <c r="B351" i="3"/>
  <c r="B351" i="4" s="1"/>
  <c r="B351" i="5" s="1"/>
  <c r="G350" i="3"/>
  <c r="F350" i="3"/>
  <c r="E350" i="3"/>
  <c r="I350" i="3" s="1"/>
  <c r="D350" i="4" s="1"/>
  <c r="D350" i="3"/>
  <c r="L350" i="3" s="1"/>
  <c r="G350" i="4" s="1"/>
  <c r="C350" i="3"/>
  <c r="B350" i="3"/>
  <c r="B350" i="4" s="1"/>
  <c r="B350" i="5" s="1"/>
  <c r="G349" i="3"/>
  <c r="F349" i="3"/>
  <c r="E349" i="3"/>
  <c r="I349" i="3" s="1"/>
  <c r="D349" i="4" s="1"/>
  <c r="D349" i="3"/>
  <c r="L349" i="3" s="1"/>
  <c r="G349" i="4" s="1"/>
  <c r="C349" i="3"/>
  <c r="B349" i="3"/>
  <c r="B349" i="4" s="1"/>
  <c r="B349" i="5" s="1"/>
  <c r="G348" i="3"/>
  <c r="F348" i="3"/>
  <c r="E348" i="3"/>
  <c r="I348" i="3" s="1"/>
  <c r="D348" i="4" s="1"/>
  <c r="D348" i="3"/>
  <c r="L348" i="3" s="1"/>
  <c r="G348" i="4" s="1"/>
  <c r="C348" i="3"/>
  <c r="B348" i="3"/>
  <c r="B348" i="4" s="1"/>
  <c r="B348" i="5" s="1"/>
  <c r="G347" i="3"/>
  <c r="F347" i="3"/>
  <c r="E347" i="3"/>
  <c r="I347" i="3" s="1"/>
  <c r="D347" i="4" s="1"/>
  <c r="D347" i="3"/>
  <c r="L347" i="3" s="1"/>
  <c r="G347" i="4" s="1"/>
  <c r="C347" i="3"/>
  <c r="B347" i="3"/>
  <c r="B347" i="4" s="1"/>
  <c r="B347" i="5" s="1"/>
  <c r="G346" i="3"/>
  <c r="F346" i="3"/>
  <c r="E346" i="3"/>
  <c r="I346" i="3" s="1"/>
  <c r="D346" i="4" s="1"/>
  <c r="D346" i="3"/>
  <c r="L346" i="3" s="1"/>
  <c r="G346" i="4" s="1"/>
  <c r="C346" i="3"/>
  <c r="B346" i="3"/>
  <c r="B346" i="4" s="1"/>
  <c r="B346" i="5" s="1"/>
  <c r="G345" i="3"/>
  <c r="F345" i="3"/>
  <c r="E345" i="3"/>
  <c r="I345" i="3" s="1"/>
  <c r="D345" i="4" s="1"/>
  <c r="D345" i="3"/>
  <c r="L345" i="3" s="1"/>
  <c r="G345" i="4" s="1"/>
  <c r="C345" i="3"/>
  <c r="B345" i="3"/>
  <c r="B345" i="4" s="1"/>
  <c r="B345" i="5" s="1"/>
  <c r="G344" i="3"/>
  <c r="F344" i="3"/>
  <c r="E344" i="3"/>
  <c r="I344" i="3" s="1"/>
  <c r="D344" i="4" s="1"/>
  <c r="D344" i="3"/>
  <c r="L344" i="3" s="1"/>
  <c r="G344" i="4" s="1"/>
  <c r="C344" i="3"/>
  <c r="B344" i="3"/>
  <c r="B344" i="4" s="1"/>
  <c r="B344" i="5" s="1"/>
  <c r="G343" i="3"/>
  <c r="F343" i="3"/>
  <c r="E343" i="3"/>
  <c r="I343" i="3" s="1"/>
  <c r="D343" i="4" s="1"/>
  <c r="D343" i="3"/>
  <c r="L343" i="3" s="1"/>
  <c r="G343" i="4" s="1"/>
  <c r="C343" i="3"/>
  <c r="B343" i="3"/>
  <c r="B343" i="4" s="1"/>
  <c r="B343" i="5" s="1"/>
  <c r="G342" i="3"/>
  <c r="F342" i="3"/>
  <c r="E342" i="3"/>
  <c r="I342" i="3" s="1"/>
  <c r="D342" i="4" s="1"/>
  <c r="D342" i="3"/>
  <c r="L342" i="3" s="1"/>
  <c r="G342" i="4" s="1"/>
  <c r="C342" i="3"/>
  <c r="B342" i="3"/>
  <c r="B342" i="4" s="1"/>
  <c r="B342" i="5" s="1"/>
  <c r="G341" i="3"/>
  <c r="F341" i="3"/>
  <c r="E341" i="3"/>
  <c r="I341" i="3" s="1"/>
  <c r="D341" i="4" s="1"/>
  <c r="D341" i="3"/>
  <c r="L341" i="3" s="1"/>
  <c r="G341" i="4" s="1"/>
  <c r="C341" i="3"/>
  <c r="B341" i="3"/>
  <c r="B341" i="4" s="1"/>
  <c r="B341" i="5" s="1"/>
  <c r="G340" i="3"/>
  <c r="F340" i="3"/>
  <c r="E340" i="3"/>
  <c r="I340" i="3" s="1"/>
  <c r="D340" i="4" s="1"/>
  <c r="D340" i="3"/>
  <c r="L340" i="3" s="1"/>
  <c r="G340" i="4" s="1"/>
  <c r="C340" i="3"/>
  <c r="B340" i="3"/>
  <c r="B340" i="4" s="1"/>
  <c r="B340" i="5" s="1"/>
  <c r="G339" i="3"/>
  <c r="F339" i="3"/>
  <c r="E339" i="3"/>
  <c r="I339" i="3" s="1"/>
  <c r="D339" i="4" s="1"/>
  <c r="D339" i="3"/>
  <c r="L339" i="3" s="1"/>
  <c r="G339" i="4" s="1"/>
  <c r="C339" i="3"/>
  <c r="B339" i="3"/>
  <c r="B339" i="4" s="1"/>
  <c r="B339" i="5" s="1"/>
  <c r="G338" i="3"/>
  <c r="F338" i="3"/>
  <c r="E338" i="3"/>
  <c r="I338" i="3" s="1"/>
  <c r="D338" i="4" s="1"/>
  <c r="D338" i="3"/>
  <c r="L338" i="3" s="1"/>
  <c r="G338" i="4" s="1"/>
  <c r="C338" i="3"/>
  <c r="B338" i="3"/>
  <c r="B338" i="4" s="1"/>
  <c r="B338" i="5" s="1"/>
  <c r="G337" i="3"/>
  <c r="F337" i="3"/>
  <c r="E337" i="3"/>
  <c r="I337" i="3" s="1"/>
  <c r="D337" i="4" s="1"/>
  <c r="D337" i="3"/>
  <c r="L337" i="3" s="1"/>
  <c r="G337" i="4" s="1"/>
  <c r="C337" i="3"/>
  <c r="B337" i="3"/>
  <c r="B337" i="4" s="1"/>
  <c r="B337" i="5" s="1"/>
  <c r="G336" i="3"/>
  <c r="F336" i="3"/>
  <c r="E336" i="3"/>
  <c r="I336" i="3" s="1"/>
  <c r="D336" i="4" s="1"/>
  <c r="D336" i="3"/>
  <c r="L336" i="3" s="1"/>
  <c r="G336" i="4" s="1"/>
  <c r="C336" i="3"/>
  <c r="B336" i="3"/>
  <c r="B336" i="4" s="1"/>
  <c r="B336" i="5" s="1"/>
  <c r="G335" i="3"/>
  <c r="F335" i="3"/>
  <c r="E335" i="3"/>
  <c r="I335" i="3" s="1"/>
  <c r="D335" i="4" s="1"/>
  <c r="D335" i="3"/>
  <c r="L335" i="3" s="1"/>
  <c r="G335" i="4" s="1"/>
  <c r="C335" i="3"/>
  <c r="B335" i="3"/>
  <c r="B335" i="4" s="1"/>
  <c r="B335" i="5" s="1"/>
  <c r="G334" i="3"/>
  <c r="F334" i="3"/>
  <c r="E334" i="3"/>
  <c r="I334" i="3" s="1"/>
  <c r="D334" i="4" s="1"/>
  <c r="D334" i="3"/>
  <c r="L334" i="3" s="1"/>
  <c r="G334" i="4" s="1"/>
  <c r="C334" i="3"/>
  <c r="B334" i="3"/>
  <c r="B334" i="4" s="1"/>
  <c r="B334" i="5" s="1"/>
  <c r="G333" i="3"/>
  <c r="F333" i="3"/>
  <c r="E333" i="3"/>
  <c r="I333" i="3" s="1"/>
  <c r="D333" i="4" s="1"/>
  <c r="D333" i="3"/>
  <c r="L333" i="3" s="1"/>
  <c r="G333" i="4" s="1"/>
  <c r="C333" i="3"/>
  <c r="B333" i="3"/>
  <c r="B333" i="4" s="1"/>
  <c r="B333" i="5" s="1"/>
  <c r="G332" i="3"/>
  <c r="F332" i="3"/>
  <c r="E332" i="3"/>
  <c r="I332" i="3" s="1"/>
  <c r="D332" i="4" s="1"/>
  <c r="D332" i="3"/>
  <c r="L332" i="3" s="1"/>
  <c r="G332" i="4" s="1"/>
  <c r="C332" i="3"/>
  <c r="B332" i="3"/>
  <c r="B332" i="4" s="1"/>
  <c r="B332" i="5" s="1"/>
  <c r="G331" i="3"/>
  <c r="F331" i="3"/>
  <c r="E331" i="3"/>
  <c r="I331" i="3" s="1"/>
  <c r="D331" i="4" s="1"/>
  <c r="D331" i="3"/>
  <c r="L331" i="3" s="1"/>
  <c r="G331" i="4" s="1"/>
  <c r="C331" i="3"/>
  <c r="B331" i="3"/>
  <c r="B331" i="4" s="1"/>
  <c r="B331" i="5" s="1"/>
  <c r="G330" i="3"/>
  <c r="F330" i="3"/>
  <c r="E330" i="3"/>
  <c r="I330" i="3" s="1"/>
  <c r="D330" i="4" s="1"/>
  <c r="D330" i="3"/>
  <c r="L330" i="3" s="1"/>
  <c r="G330" i="4" s="1"/>
  <c r="C330" i="3"/>
  <c r="B330" i="3"/>
  <c r="B330" i="4" s="1"/>
  <c r="B330" i="5" s="1"/>
  <c r="G329" i="3"/>
  <c r="F329" i="3"/>
  <c r="E329" i="3"/>
  <c r="I329" i="3" s="1"/>
  <c r="D329" i="4" s="1"/>
  <c r="D329" i="3"/>
  <c r="L329" i="3" s="1"/>
  <c r="G329" i="4" s="1"/>
  <c r="C329" i="3"/>
  <c r="B329" i="3"/>
  <c r="B329" i="4" s="1"/>
  <c r="B329" i="5" s="1"/>
  <c r="G328" i="3"/>
  <c r="F328" i="3"/>
  <c r="E328" i="3"/>
  <c r="I328" i="3" s="1"/>
  <c r="D328" i="4" s="1"/>
  <c r="D328" i="3"/>
  <c r="L328" i="3" s="1"/>
  <c r="G328" i="4" s="1"/>
  <c r="C328" i="3"/>
  <c r="B328" i="3"/>
  <c r="B328" i="4" s="1"/>
  <c r="B328" i="5" s="1"/>
  <c r="G327" i="3"/>
  <c r="F327" i="3"/>
  <c r="E327" i="3"/>
  <c r="I327" i="3" s="1"/>
  <c r="D327" i="4" s="1"/>
  <c r="D327" i="3"/>
  <c r="L327" i="3" s="1"/>
  <c r="G327" i="4" s="1"/>
  <c r="C327" i="3"/>
  <c r="B327" i="3"/>
  <c r="B327" i="4" s="1"/>
  <c r="B327" i="5" s="1"/>
  <c r="G326" i="3"/>
  <c r="F326" i="3"/>
  <c r="E326" i="3"/>
  <c r="I326" i="3" s="1"/>
  <c r="D326" i="4" s="1"/>
  <c r="D326" i="3"/>
  <c r="L326" i="3" s="1"/>
  <c r="G326" i="4" s="1"/>
  <c r="C326" i="3"/>
  <c r="B326" i="3"/>
  <c r="B326" i="4" s="1"/>
  <c r="B326" i="5" s="1"/>
  <c r="G325" i="3"/>
  <c r="F325" i="3"/>
  <c r="E325" i="3"/>
  <c r="I325" i="3" s="1"/>
  <c r="D325" i="4" s="1"/>
  <c r="D325" i="3"/>
  <c r="L325" i="3" s="1"/>
  <c r="G325" i="4" s="1"/>
  <c r="C325" i="3"/>
  <c r="B325" i="3"/>
  <c r="B325" i="4" s="1"/>
  <c r="B325" i="5" s="1"/>
  <c r="G324" i="3"/>
  <c r="F324" i="3"/>
  <c r="E324" i="3"/>
  <c r="I324" i="3" s="1"/>
  <c r="D324" i="4" s="1"/>
  <c r="D324" i="3"/>
  <c r="L324" i="3" s="1"/>
  <c r="G324" i="4" s="1"/>
  <c r="C324" i="3"/>
  <c r="B324" i="3"/>
  <c r="B324" i="4" s="1"/>
  <c r="B324" i="5" s="1"/>
  <c r="G323" i="3"/>
  <c r="F323" i="3"/>
  <c r="E323" i="3"/>
  <c r="I323" i="3" s="1"/>
  <c r="D323" i="4" s="1"/>
  <c r="D323" i="3"/>
  <c r="L323" i="3" s="1"/>
  <c r="G323" i="4" s="1"/>
  <c r="C323" i="3"/>
  <c r="B323" i="3"/>
  <c r="B323" i="4" s="1"/>
  <c r="B323" i="5" s="1"/>
  <c r="G322" i="3"/>
  <c r="F322" i="3"/>
  <c r="E322" i="3"/>
  <c r="I322" i="3" s="1"/>
  <c r="D322" i="4" s="1"/>
  <c r="D322" i="3"/>
  <c r="L322" i="3" s="1"/>
  <c r="G322" i="4" s="1"/>
  <c r="C322" i="3"/>
  <c r="B322" i="3"/>
  <c r="B322" i="4" s="1"/>
  <c r="B322" i="5" s="1"/>
  <c r="G321" i="3"/>
  <c r="F321" i="3"/>
  <c r="E321" i="3"/>
  <c r="I321" i="3" s="1"/>
  <c r="D321" i="4" s="1"/>
  <c r="D321" i="3"/>
  <c r="L321" i="3" s="1"/>
  <c r="G321" i="4" s="1"/>
  <c r="C321" i="3"/>
  <c r="B321" i="3"/>
  <c r="B321" i="4" s="1"/>
  <c r="B321" i="5" s="1"/>
  <c r="G320" i="3"/>
  <c r="F320" i="3"/>
  <c r="E320" i="3"/>
  <c r="I320" i="3" s="1"/>
  <c r="D320" i="4" s="1"/>
  <c r="D320" i="3"/>
  <c r="L320" i="3" s="1"/>
  <c r="G320" i="4" s="1"/>
  <c r="C320" i="3"/>
  <c r="B320" i="3"/>
  <c r="B320" i="4" s="1"/>
  <c r="B320" i="5" s="1"/>
  <c r="G319" i="3"/>
  <c r="F319" i="3"/>
  <c r="E319" i="3"/>
  <c r="I319" i="3" s="1"/>
  <c r="D319" i="4" s="1"/>
  <c r="D319" i="3"/>
  <c r="L319" i="3" s="1"/>
  <c r="G319" i="4" s="1"/>
  <c r="C319" i="3"/>
  <c r="B319" i="3"/>
  <c r="B319" i="4" s="1"/>
  <c r="B319" i="5" s="1"/>
  <c r="G318" i="3"/>
  <c r="F318" i="3"/>
  <c r="E318" i="3"/>
  <c r="I318" i="3" s="1"/>
  <c r="D318" i="4" s="1"/>
  <c r="D318" i="3"/>
  <c r="L318" i="3" s="1"/>
  <c r="G318" i="4" s="1"/>
  <c r="C318" i="3"/>
  <c r="B318" i="3"/>
  <c r="B318" i="4" s="1"/>
  <c r="B318" i="5" s="1"/>
  <c r="G317" i="3"/>
  <c r="F317" i="3"/>
  <c r="E317" i="3"/>
  <c r="I317" i="3" s="1"/>
  <c r="D317" i="4" s="1"/>
  <c r="D317" i="3"/>
  <c r="L317" i="3" s="1"/>
  <c r="G317" i="4" s="1"/>
  <c r="C317" i="3"/>
  <c r="B317" i="3"/>
  <c r="B317" i="4" s="1"/>
  <c r="B317" i="5" s="1"/>
  <c r="G316" i="3"/>
  <c r="F316" i="3"/>
  <c r="E316" i="3"/>
  <c r="I316" i="3" s="1"/>
  <c r="D316" i="4" s="1"/>
  <c r="D316" i="3"/>
  <c r="L316" i="3" s="1"/>
  <c r="G316" i="4" s="1"/>
  <c r="C316" i="3"/>
  <c r="B316" i="3"/>
  <c r="B316" i="4" s="1"/>
  <c r="B316" i="5" s="1"/>
  <c r="G315" i="3"/>
  <c r="F315" i="3"/>
  <c r="E315" i="3"/>
  <c r="I315" i="3" s="1"/>
  <c r="D315" i="4" s="1"/>
  <c r="D315" i="3"/>
  <c r="L315" i="3" s="1"/>
  <c r="G315" i="4" s="1"/>
  <c r="C315" i="3"/>
  <c r="B315" i="3"/>
  <c r="B315" i="4" s="1"/>
  <c r="B315" i="5" s="1"/>
  <c r="G314" i="3"/>
  <c r="F314" i="3"/>
  <c r="E314" i="3"/>
  <c r="I314" i="3" s="1"/>
  <c r="D314" i="4" s="1"/>
  <c r="D314" i="3"/>
  <c r="L314" i="3" s="1"/>
  <c r="G314" i="4" s="1"/>
  <c r="C314" i="3"/>
  <c r="B314" i="3"/>
  <c r="B314" i="4" s="1"/>
  <c r="B314" i="5" s="1"/>
  <c r="G313" i="3"/>
  <c r="F313" i="3"/>
  <c r="E313" i="3"/>
  <c r="I313" i="3" s="1"/>
  <c r="D313" i="4" s="1"/>
  <c r="D313" i="3"/>
  <c r="L313" i="3" s="1"/>
  <c r="G313" i="4" s="1"/>
  <c r="C313" i="3"/>
  <c r="B313" i="3"/>
  <c r="B313" i="4" s="1"/>
  <c r="B313" i="5" s="1"/>
  <c r="G312" i="3"/>
  <c r="F312" i="3"/>
  <c r="E312" i="3"/>
  <c r="I312" i="3" s="1"/>
  <c r="D312" i="4" s="1"/>
  <c r="D312" i="3"/>
  <c r="L312" i="3" s="1"/>
  <c r="G312" i="4" s="1"/>
  <c r="C312" i="3"/>
  <c r="B312" i="3"/>
  <c r="B312" i="4" s="1"/>
  <c r="B312" i="5" s="1"/>
  <c r="G311" i="3"/>
  <c r="F311" i="3"/>
  <c r="E311" i="3"/>
  <c r="I311" i="3" s="1"/>
  <c r="D311" i="4" s="1"/>
  <c r="D311" i="3"/>
  <c r="L311" i="3" s="1"/>
  <c r="G311" i="4" s="1"/>
  <c r="C311" i="3"/>
  <c r="B311" i="3"/>
  <c r="B311" i="4" s="1"/>
  <c r="B311" i="5" s="1"/>
  <c r="L310" i="3"/>
  <c r="G310" i="4" s="1"/>
  <c r="G310" i="3"/>
  <c r="F310" i="3"/>
  <c r="E310" i="3"/>
  <c r="I310" i="3" s="1"/>
  <c r="D310" i="4" s="1"/>
  <c r="D310" i="3"/>
  <c r="C310" i="3"/>
  <c r="B310" i="3"/>
  <c r="G309" i="3"/>
  <c r="F309" i="3"/>
  <c r="E309" i="3"/>
  <c r="I309" i="3" s="1"/>
  <c r="D309" i="4" s="1"/>
  <c r="D309" i="3"/>
  <c r="L309" i="3" s="1"/>
  <c r="G309" i="4" s="1"/>
  <c r="C309" i="3"/>
  <c r="B309" i="3"/>
  <c r="G308" i="3"/>
  <c r="F308" i="3"/>
  <c r="E308" i="3"/>
  <c r="I308" i="3" s="1"/>
  <c r="D308" i="4" s="1"/>
  <c r="D308" i="3"/>
  <c r="L308" i="3" s="1"/>
  <c r="G308" i="4" s="1"/>
  <c r="C308" i="3"/>
  <c r="B308" i="3"/>
  <c r="G307" i="3"/>
  <c r="F307" i="3"/>
  <c r="E307" i="3"/>
  <c r="I307" i="3" s="1"/>
  <c r="D307" i="4" s="1"/>
  <c r="D307" i="3"/>
  <c r="L307" i="3" s="1"/>
  <c r="G307" i="4" s="1"/>
  <c r="C307" i="3"/>
  <c r="B307" i="3"/>
  <c r="G306" i="3"/>
  <c r="F306" i="3"/>
  <c r="E306" i="3"/>
  <c r="I306" i="3" s="1"/>
  <c r="D306" i="4" s="1"/>
  <c r="D306" i="3"/>
  <c r="L306" i="3" s="1"/>
  <c r="G306" i="4" s="1"/>
  <c r="C306" i="3"/>
  <c r="B306" i="3"/>
  <c r="G305" i="3"/>
  <c r="F305" i="3"/>
  <c r="E305" i="3"/>
  <c r="I305" i="3" s="1"/>
  <c r="D305" i="4" s="1"/>
  <c r="D305" i="3"/>
  <c r="L305" i="3" s="1"/>
  <c r="G305" i="4" s="1"/>
  <c r="C305" i="3"/>
  <c r="B305" i="3"/>
  <c r="G304" i="3"/>
  <c r="F304" i="3"/>
  <c r="E304" i="3"/>
  <c r="I304" i="3" s="1"/>
  <c r="D304" i="4" s="1"/>
  <c r="D304" i="3"/>
  <c r="L304" i="3" s="1"/>
  <c r="G304" i="4" s="1"/>
  <c r="C304" i="3"/>
  <c r="B304" i="3"/>
  <c r="G303" i="3"/>
  <c r="F303" i="3"/>
  <c r="E303" i="3"/>
  <c r="I303" i="3" s="1"/>
  <c r="D303" i="4" s="1"/>
  <c r="D303" i="3"/>
  <c r="L303" i="3" s="1"/>
  <c r="G303" i="4" s="1"/>
  <c r="C303" i="3"/>
  <c r="B303" i="3"/>
  <c r="G302" i="3"/>
  <c r="F302" i="3"/>
  <c r="E302" i="3"/>
  <c r="I302" i="3" s="1"/>
  <c r="D302" i="4" s="1"/>
  <c r="D302" i="3"/>
  <c r="L302" i="3" s="1"/>
  <c r="G302" i="4" s="1"/>
  <c r="C302" i="3"/>
  <c r="B302" i="3"/>
  <c r="G301" i="3"/>
  <c r="F301" i="3"/>
  <c r="E301" i="3"/>
  <c r="I301" i="3" s="1"/>
  <c r="D301" i="4" s="1"/>
  <c r="D301" i="3"/>
  <c r="L301" i="3" s="1"/>
  <c r="G301" i="4" s="1"/>
  <c r="C301" i="3"/>
  <c r="B301" i="3"/>
  <c r="G300" i="3"/>
  <c r="F300" i="3"/>
  <c r="E300" i="3"/>
  <c r="I300" i="3" s="1"/>
  <c r="D300" i="4" s="1"/>
  <c r="D300" i="3"/>
  <c r="L300" i="3" s="1"/>
  <c r="G300" i="4" s="1"/>
  <c r="C300" i="3"/>
  <c r="B300" i="3"/>
  <c r="G299" i="3"/>
  <c r="F299" i="3"/>
  <c r="E299" i="3"/>
  <c r="I299" i="3" s="1"/>
  <c r="D299" i="4" s="1"/>
  <c r="D299" i="3"/>
  <c r="L299" i="3" s="1"/>
  <c r="G299" i="4" s="1"/>
  <c r="C299" i="3"/>
  <c r="B299" i="3"/>
  <c r="G298" i="3"/>
  <c r="F298" i="3"/>
  <c r="E298" i="3"/>
  <c r="I298" i="3" s="1"/>
  <c r="D298" i="4" s="1"/>
  <c r="D298" i="3"/>
  <c r="L298" i="3" s="1"/>
  <c r="G298" i="4" s="1"/>
  <c r="C298" i="3"/>
  <c r="B298" i="3"/>
  <c r="G297" i="3"/>
  <c r="F297" i="3"/>
  <c r="E297" i="3"/>
  <c r="I297" i="3" s="1"/>
  <c r="D297" i="4" s="1"/>
  <c r="D297" i="3"/>
  <c r="L297" i="3" s="1"/>
  <c r="G297" i="4" s="1"/>
  <c r="C297" i="3"/>
  <c r="B297" i="3"/>
  <c r="G296" i="3"/>
  <c r="F296" i="3"/>
  <c r="E296" i="3"/>
  <c r="I296" i="3" s="1"/>
  <c r="D296" i="4" s="1"/>
  <c r="D296" i="3"/>
  <c r="L296" i="3" s="1"/>
  <c r="G296" i="4" s="1"/>
  <c r="C296" i="3"/>
  <c r="B296" i="3"/>
  <c r="G295" i="3"/>
  <c r="F295" i="3"/>
  <c r="E295" i="3"/>
  <c r="I295" i="3" s="1"/>
  <c r="D295" i="4" s="1"/>
  <c r="D295" i="3"/>
  <c r="L295" i="3" s="1"/>
  <c r="G295" i="4" s="1"/>
  <c r="C295" i="3"/>
  <c r="B295" i="3"/>
  <c r="G294" i="3"/>
  <c r="F294" i="3"/>
  <c r="E294" i="3"/>
  <c r="I294" i="3" s="1"/>
  <c r="D294" i="4" s="1"/>
  <c r="D294" i="3"/>
  <c r="L294" i="3" s="1"/>
  <c r="G294" i="4" s="1"/>
  <c r="C294" i="3"/>
  <c r="B294" i="3"/>
  <c r="G293" i="3"/>
  <c r="F293" i="3"/>
  <c r="E293" i="3"/>
  <c r="I293" i="3" s="1"/>
  <c r="D293" i="4" s="1"/>
  <c r="D293" i="3"/>
  <c r="L293" i="3" s="1"/>
  <c r="G293" i="4" s="1"/>
  <c r="C293" i="3"/>
  <c r="B293" i="3"/>
  <c r="G292" i="3"/>
  <c r="F292" i="3"/>
  <c r="E292" i="3"/>
  <c r="I292" i="3" s="1"/>
  <c r="D292" i="4" s="1"/>
  <c r="D292" i="3"/>
  <c r="L292" i="3" s="1"/>
  <c r="G292" i="4" s="1"/>
  <c r="C292" i="3"/>
  <c r="B292" i="3"/>
  <c r="G291" i="3"/>
  <c r="F291" i="3"/>
  <c r="E291" i="3"/>
  <c r="I291" i="3" s="1"/>
  <c r="D291" i="4" s="1"/>
  <c r="D291" i="3"/>
  <c r="L291" i="3" s="1"/>
  <c r="G291" i="4" s="1"/>
  <c r="C291" i="3"/>
  <c r="B291" i="3"/>
  <c r="G290" i="3"/>
  <c r="F290" i="3"/>
  <c r="E290" i="3"/>
  <c r="I290" i="3" s="1"/>
  <c r="D290" i="4" s="1"/>
  <c r="D290" i="3"/>
  <c r="L290" i="3" s="1"/>
  <c r="G290" i="4" s="1"/>
  <c r="C290" i="3"/>
  <c r="B290" i="3"/>
  <c r="G289" i="3"/>
  <c r="F289" i="3"/>
  <c r="E289" i="3"/>
  <c r="I289" i="3" s="1"/>
  <c r="D289" i="4" s="1"/>
  <c r="D289" i="3"/>
  <c r="L289" i="3" s="1"/>
  <c r="G289" i="4" s="1"/>
  <c r="C289" i="3"/>
  <c r="B289" i="3"/>
  <c r="G288" i="3"/>
  <c r="F288" i="3"/>
  <c r="E288" i="3"/>
  <c r="I288" i="3" s="1"/>
  <c r="D288" i="4" s="1"/>
  <c r="D288" i="3"/>
  <c r="L288" i="3" s="1"/>
  <c r="G288" i="4" s="1"/>
  <c r="C288" i="3"/>
  <c r="B288" i="3"/>
  <c r="G287" i="3"/>
  <c r="F287" i="3"/>
  <c r="E287" i="3"/>
  <c r="I287" i="3" s="1"/>
  <c r="D287" i="4" s="1"/>
  <c r="D287" i="3"/>
  <c r="L287" i="3" s="1"/>
  <c r="G287" i="4" s="1"/>
  <c r="C287" i="3"/>
  <c r="B287" i="3"/>
  <c r="G286" i="3"/>
  <c r="F286" i="3"/>
  <c r="E286" i="3"/>
  <c r="I286" i="3" s="1"/>
  <c r="D286" i="4" s="1"/>
  <c r="D286" i="3"/>
  <c r="L286" i="3" s="1"/>
  <c r="G286" i="4" s="1"/>
  <c r="C286" i="3"/>
  <c r="B286" i="3"/>
  <c r="G285" i="3"/>
  <c r="F285" i="3"/>
  <c r="E285" i="3"/>
  <c r="I285" i="3" s="1"/>
  <c r="D285" i="4" s="1"/>
  <c r="D285" i="3"/>
  <c r="L285" i="3" s="1"/>
  <c r="G285" i="4" s="1"/>
  <c r="C285" i="3"/>
  <c r="B285" i="3"/>
  <c r="G284" i="3"/>
  <c r="F284" i="3"/>
  <c r="E284" i="3"/>
  <c r="I284" i="3" s="1"/>
  <c r="D284" i="4" s="1"/>
  <c r="D284" i="3"/>
  <c r="L284" i="3" s="1"/>
  <c r="G284" i="4" s="1"/>
  <c r="C284" i="3"/>
  <c r="B284" i="3"/>
  <c r="G283" i="3"/>
  <c r="F283" i="3"/>
  <c r="E283" i="3"/>
  <c r="I283" i="3" s="1"/>
  <c r="D283" i="4" s="1"/>
  <c r="D283" i="3"/>
  <c r="L283" i="3" s="1"/>
  <c r="G283" i="4" s="1"/>
  <c r="C283" i="3"/>
  <c r="B283" i="3"/>
  <c r="G282" i="3"/>
  <c r="F282" i="3"/>
  <c r="E282" i="3"/>
  <c r="I282" i="3" s="1"/>
  <c r="D282" i="4" s="1"/>
  <c r="D282" i="3"/>
  <c r="L282" i="3" s="1"/>
  <c r="G282" i="4" s="1"/>
  <c r="C282" i="3"/>
  <c r="B282" i="3"/>
  <c r="G281" i="3"/>
  <c r="F281" i="3"/>
  <c r="E281" i="3"/>
  <c r="I281" i="3" s="1"/>
  <c r="D281" i="4" s="1"/>
  <c r="D281" i="3"/>
  <c r="L281" i="3" s="1"/>
  <c r="G281" i="4" s="1"/>
  <c r="C281" i="3"/>
  <c r="B281" i="3"/>
  <c r="G280" i="3"/>
  <c r="F280" i="3"/>
  <c r="E280" i="3"/>
  <c r="I280" i="3" s="1"/>
  <c r="D280" i="4" s="1"/>
  <c r="D280" i="3"/>
  <c r="L280" i="3" s="1"/>
  <c r="G280" i="4" s="1"/>
  <c r="C280" i="3"/>
  <c r="B280" i="3"/>
  <c r="G279" i="3"/>
  <c r="F279" i="3"/>
  <c r="E279" i="3"/>
  <c r="I279" i="3" s="1"/>
  <c r="D279" i="4" s="1"/>
  <c r="D279" i="3"/>
  <c r="L279" i="3" s="1"/>
  <c r="G279" i="4" s="1"/>
  <c r="C279" i="3"/>
  <c r="B279" i="3"/>
  <c r="G278" i="3"/>
  <c r="F278" i="3"/>
  <c r="E278" i="3"/>
  <c r="I278" i="3" s="1"/>
  <c r="D278" i="4" s="1"/>
  <c r="D278" i="3"/>
  <c r="L278" i="3" s="1"/>
  <c r="G278" i="4" s="1"/>
  <c r="C278" i="3"/>
  <c r="B278" i="3"/>
  <c r="G277" i="3"/>
  <c r="F277" i="3"/>
  <c r="E277" i="3"/>
  <c r="I277" i="3" s="1"/>
  <c r="D277" i="4" s="1"/>
  <c r="D277" i="3"/>
  <c r="L277" i="3" s="1"/>
  <c r="G277" i="4" s="1"/>
  <c r="C277" i="3"/>
  <c r="B277" i="3"/>
  <c r="G276" i="3"/>
  <c r="F276" i="3"/>
  <c r="E276" i="3"/>
  <c r="I276" i="3" s="1"/>
  <c r="D276" i="4" s="1"/>
  <c r="D276" i="3"/>
  <c r="L276" i="3" s="1"/>
  <c r="G276" i="4" s="1"/>
  <c r="C276" i="3"/>
  <c r="B276" i="3"/>
  <c r="G275" i="3"/>
  <c r="F275" i="3"/>
  <c r="E275" i="3"/>
  <c r="I275" i="3" s="1"/>
  <c r="D275" i="4" s="1"/>
  <c r="D275" i="3"/>
  <c r="L275" i="3" s="1"/>
  <c r="G275" i="4" s="1"/>
  <c r="C275" i="3"/>
  <c r="B275" i="3"/>
  <c r="G274" i="3"/>
  <c r="F274" i="3"/>
  <c r="E274" i="3"/>
  <c r="I274" i="3" s="1"/>
  <c r="D274" i="4" s="1"/>
  <c r="D274" i="3"/>
  <c r="L274" i="3" s="1"/>
  <c r="G274" i="4" s="1"/>
  <c r="C274" i="3"/>
  <c r="B274" i="3"/>
  <c r="G273" i="3"/>
  <c r="F273" i="3"/>
  <c r="E273" i="3"/>
  <c r="I273" i="3" s="1"/>
  <c r="D273" i="4" s="1"/>
  <c r="D273" i="3"/>
  <c r="L273" i="3" s="1"/>
  <c r="G273" i="4" s="1"/>
  <c r="C273" i="3"/>
  <c r="B273" i="3"/>
  <c r="G272" i="3"/>
  <c r="F272" i="3"/>
  <c r="E272" i="3"/>
  <c r="I272" i="3" s="1"/>
  <c r="D272" i="4" s="1"/>
  <c r="D272" i="3"/>
  <c r="L272" i="3" s="1"/>
  <c r="G272" i="4" s="1"/>
  <c r="C272" i="3"/>
  <c r="B272" i="3"/>
  <c r="G271" i="3"/>
  <c r="F271" i="3"/>
  <c r="E271" i="3"/>
  <c r="I271" i="3" s="1"/>
  <c r="D271" i="4" s="1"/>
  <c r="D271" i="3"/>
  <c r="L271" i="3" s="1"/>
  <c r="G271" i="4" s="1"/>
  <c r="C271" i="3"/>
  <c r="B271" i="3"/>
  <c r="G270" i="3"/>
  <c r="F270" i="3"/>
  <c r="E270" i="3"/>
  <c r="I270" i="3" s="1"/>
  <c r="D270" i="4" s="1"/>
  <c r="D270" i="3"/>
  <c r="L270" i="3" s="1"/>
  <c r="G270" i="4" s="1"/>
  <c r="C270" i="3"/>
  <c r="B270" i="3"/>
  <c r="G269" i="3"/>
  <c r="F269" i="3"/>
  <c r="E269" i="3"/>
  <c r="I269" i="3" s="1"/>
  <c r="D269" i="4" s="1"/>
  <c r="D269" i="3"/>
  <c r="L269" i="3" s="1"/>
  <c r="G269" i="4" s="1"/>
  <c r="C269" i="3"/>
  <c r="B269" i="3"/>
  <c r="G268" i="3"/>
  <c r="F268" i="3"/>
  <c r="E268" i="3"/>
  <c r="I268" i="3" s="1"/>
  <c r="D268" i="4" s="1"/>
  <c r="D268" i="3"/>
  <c r="L268" i="3" s="1"/>
  <c r="G268" i="4" s="1"/>
  <c r="C268" i="3"/>
  <c r="B268" i="3"/>
  <c r="G267" i="3"/>
  <c r="F267" i="3"/>
  <c r="E267" i="3"/>
  <c r="I267" i="3" s="1"/>
  <c r="D267" i="4" s="1"/>
  <c r="D267" i="3"/>
  <c r="L267" i="3" s="1"/>
  <c r="G267" i="4" s="1"/>
  <c r="C267" i="3"/>
  <c r="B267" i="3"/>
  <c r="G266" i="3"/>
  <c r="F266" i="3"/>
  <c r="E266" i="3"/>
  <c r="I266" i="3" s="1"/>
  <c r="D266" i="4" s="1"/>
  <c r="D266" i="3"/>
  <c r="L266" i="3" s="1"/>
  <c r="G266" i="4" s="1"/>
  <c r="C266" i="3"/>
  <c r="B266" i="3"/>
  <c r="G265" i="3"/>
  <c r="F265" i="3"/>
  <c r="E265" i="3"/>
  <c r="I265" i="3" s="1"/>
  <c r="D265" i="4" s="1"/>
  <c r="D265" i="3"/>
  <c r="L265" i="3" s="1"/>
  <c r="G265" i="4" s="1"/>
  <c r="C265" i="3"/>
  <c r="B265" i="3"/>
  <c r="G264" i="3"/>
  <c r="F264" i="3"/>
  <c r="E264" i="3"/>
  <c r="I264" i="3" s="1"/>
  <c r="D264" i="4" s="1"/>
  <c r="D264" i="3"/>
  <c r="L264" i="3" s="1"/>
  <c r="G264" i="4" s="1"/>
  <c r="C264" i="3"/>
  <c r="B264" i="3"/>
  <c r="G263" i="3"/>
  <c r="F263" i="3"/>
  <c r="E263" i="3"/>
  <c r="I263" i="3" s="1"/>
  <c r="D263" i="4" s="1"/>
  <c r="D263" i="3"/>
  <c r="L263" i="3" s="1"/>
  <c r="G263" i="4" s="1"/>
  <c r="C263" i="3"/>
  <c r="B263" i="3"/>
  <c r="G262" i="3"/>
  <c r="F262" i="3"/>
  <c r="E262" i="3"/>
  <c r="I262" i="3" s="1"/>
  <c r="D262" i="4" s="1"/>
  <c r="D262" i="3"/>
  <c r="L262" i="3" s="1"/>
  <c r="G262" i="4" s="1"/>
  <c r="C262" i="3"/>
  <c r="B262" i="3"/>
  <c r="G261" i="3"/>
  <c r="F261" i="3"/>
  <c r="E261" i="3"/>
  <c r="I261" i="3" s="1"/>
  <c r="D261" i="4" s="1"/>
  <c r="D261" i="3"/>
  <c r="L261" i="3" s="1"/>
  <c r="G261" i="4" s="1"/>
  <c r="C261" i="3"/>
  <c r="B261" i="3"/>
  <c r="G260" i="3"/>
  <c r="F260" i="3"/>
  <c r="E260" i="3"/>
  <c r="I260" i="3" s="1"/>
  <c r="D260" i="4" s="1"/>
  <c r="D260" i="3"/>
  <c r="L260" i="3" s="1"/>
  <c r="G260" i="4" s="1"/>
  <c r="C260" i="3"/>
  <c r="B260" i="3"/>
  <c r="G259" i="3"/>
  <c r="F259" i="3"/>
  <c r="E259" i="3"/>
  <c r="I259" i="3" s="1"/>
  <c r="D259" i="4" s="1"/>
  <c r="D259" i="3"/>
  <c r="L259" i="3" s="1"/>
  <c r="G259" i="4" s="1"/>
  <c r="C259" i="3"/>
  <c r="B259" i="3"/>
  <c r="G258" i="3"/>
  <c r="F258" i="3"/>
  <c r="E258" i="3"/>
  <c r="I258" i="3" s="1"/>
  <c r="D258" i="4" s="1"/>
  <c r="D258" i="3"/>
  <c r="L258" i="3" s="1"/>
  <c r="G258" i="4" s="1"/>
  <c r="C258" i="3"/>
  <c r="B258" i="3"/>
  <c r="G257" i="3"/>
  <c r="F257" i="3"/>
  <c r="E257" i="3"/>
  <c r="I257" i="3" s="1"/>
  <c r="D257" i="4" s="1"/>
  <c r="D257" i="3"/>
  <c r="L257" i="3" s="1"/>
  <c r="G257" i="4" s="1"/>
  <c r="C257" i="3"/>
  <c r="B257" i="3"/>
  <c r="G256" i="3"/>
  <c r="F256" i="3"/>
  <c r="E256" i="3"/>
  <c r="I256" i="3" s="1"/>
  <c r="D256" i="4" s="1"/>
  <c r="D256" i="3"/>
  <c r="L256" i="3" s="1"/>
  <c r="G256" i="4" s="1"/>
  <c r="C256" i="3"/>
  <c r="B256" i="3"/>
  <c r="G255" i="3"/>
  <c r="F255" i="3"/>
  <c r="E255" i="3"/>
  <c r="I255" i="3" s="1"/>
  <c r="D255" i="4" s="1"/>
  <c r="D255" i="3"/>
  <c r="L255" i="3" s="1"/>
  <c r="G255" i="4" s="1"/>
  <c r="C255" i="3"/>
  <c r="B255" i="3"/>
  <c r="G254" i="3"/>
  <c r="F254" i="3"/>
  <c r="E254" i="3"/>
  <c r="I254" i="3" s="1"/>
  <c r="D254" i="4" s="1"/>
  <c r="D254" i="3"/>
  <c r="L254" i="3" s="1"/>
  <c r="G254" i="4" s="1"/>
  <c r="C254" i="3"/>
  <c r="B254" i="3"/>
  <c r="G253" i="3"/>
  <c r="F253" i="3"/>
  <c r="E253" i="3"/>
  <c r="I253" i="3" s="1"/>
  <c r="D253" i="4" s="1"/>
  <c r="D253" i="3"/>
  <c r="L253" i="3" s="1"/>
  <c r="G253" i="4" s="1"/>
  <c r="C253" i="3"/>
  <c r="B253" i="3"/>
  <c r="G252" i="3"/>
  <c r="F252" i="3"/>
  <c r="E252" i="3"/>
  <c r="I252" i="3" s="1"/>
  <c r="D252" i="4" s="1"/>
  <c r="D252" i="3"/>
  <c r="L252" i="3" s="1"/>
  <c r="G252" i="4" s="1"/>
  <c r="C252" i="3"/>
  <c r="B252" i="3"/>
  <c r="G251" i="3"/>
  <c r="F251" i="3"/>
  <c r="E251" i="3"/>
  <c r="I251" i="3" s="1"/>
  <c r="D251" i="4" s="1"/>
  <c r="D251" i="3"/>
  <c r="L251" i="3" s="1"/>
  <c r="G251" i="4" s="1"/>
  <c r="C251" i="3"/>
  <c r="B251" i="3"/>
  <c r="G250" i="3"/>
  <c r="F250" i="3"/>
  <c r="E250" i="3"/>
  <c r="I250" i="3" s="1"/>
  <c r="D250" i="4" s="1"/>
  <c r="D250" i="3"/>
  <c r="L250" i="3" s="1"/>
  <c r="G250" i="4" s="1"/>
  <c r="C250" i="3"/>
  <c r="B250" i="3"/>
  <c r="G249" i="3"/>
  <c r="F249" i="3"/>
  <c r="E249" i="3"/>
  <c r="I249" i="3" s="1"/>
  <c r="D249" i="4" s="1"/>
  <c r="D249" i="3"/>
  <c r="L249" i="3" s="1"/>
  <c r="G249" i="4" s="1"/>
  <c r="C249" i="3"/>
  <c r="B249" i="3"/>
  <c r="G248" i="3"/>
  <c r="F248" i="3"/>
  <c r="E248" i="3"/>
  <c r="I248" i="3" s="1"/>
  <c r="D248" i="4" s="1"/>
  <c r="D248" i="3"/>
  <c r="L248" i="3" s="1"/>
  <c r="G248" i="4" s="1"/>
  <c r="C248" i="3"/>
  <c r="B248" i="3"/>
  <c r="G247" i="3"/>
  <c r="F247" i="3"/>
  <c r="E247" i="3"/>
  <c r="I247" i="3" s="1"/>
  <c r="D247" i="4" s="1"/>
  <c r="D247" i="3"/>
  <c r="L247" i="3" s="1"/>
  <c r="G247" i="4" s="1"/>
  <c r="C247" i="3"/>
  <c r="B247" i="3"/>
  <c r="G246" i="3"/>
  <c r="F246" i="3"/>
  <c r="E246" i="3"/>
  <c r="I246" i="3" s="1"/>
  <c r="D246" i="4" s="1"/>
  <c r="D246" i="3"/>
  <c r="L246" i="3" s="1"/>
  <c r="G246" i="4" s="1"/>
  <c r="C246" i="3"/>
  <c r="B246" i="3"/>
  <c r="G245" i="3"/>
  <c r="F245" i="3"/>
  <c r="E245" i="3"/>
  <c r="I245" i="3" s="1"/>
  <c r="D245" i="4" s="1"/>
  <c r="D245" i="3"/>
  <c r="L245" i="3" s="1"/>
  <c r="G245" i="4" s="1"/>
  <c r="C245" i="3"/>
  <c r="B245" i="3"/>
  <c r="G244" i="3"/>
  <c r="F244" i="3"/>
  <c r="E244" i="3"/>
  <c r="I244" i="3" s="1"/>
  <c r="D244" i="4" s="1"/>
  <c r="D244" i="3"/>
  <c r="L244" i="3" s="1"/>
  <c r="G244" i="4" s="1"/>
  <c r="C244" i="3"/>
  <c r="B244" i="3"/>
  <c r="G243" i="3"/>
  <c r="F243" i="3"/>
  <c r="E243" i="3"/>
  <c r="I243" i="3" s="1"/>
  <c r="D243" i="4" s="1"/>
  <c r="D243" i="3"/>
  <c r="L243" i="3" s="1"/>
  <c r="G243" i="4" s="1"/>
  <c r="C243" i="3"/>
  <c r="B243" i="3"/>
  <c r="G242" i="3"/>
  <c r="F242" i="3"/>
  <c r="E242" i="3"/>
  <c r="I242" i="3" s="1"/>
  <c r="D242" i="4" s="1"/>
  <c r="D242" i="3"/>
  <c r="L242" i="3" s="1"/>
  <c r="G242" i="4" s="1"/>
  <c r="C242" i="3"/>
  <c r="B242" i="3"/>
  <c r="G241" i="3"/>
  <c r="F241" i="3"/>
  <c r="E241" i="3"/>
  <c r="I241" i="3" s="1"/>
  <c r="D241" i="4" s="1"/>
  <c r="D241" i="3"/>
  <c r="L241" i="3" s="1"/>
  <c r="G241" i="4" s="1"/>
  <c r="C241" i="3"/>
  <c r="B241" i="3"/>
  <c r="G240" i="3"/>
  <c r="F240" i="3"/>
  <c r="E240" i="3"/>
  <c r="I240" i="3" s="1"/>
  <c r="D240" i="4" s="1"/>
  <c r="D240" i="3"/>
  <c r="L240" i="3" s="1"/>
  <c r="G240" i="4" s="1"/>
  <c r="C240" i="3"/>
  <c r="B240" i="3"/>
  <c r="G239" i="3"/>
  <c r="F239" i="3"/>
  <c r="E239" i="3"/>
  <c r="I239" i="3" s="1"/>
  <c r="D239" i="4" s="1"/>
  <c r="D239" i="3"/>
  <c r="L239" i="3" s="1"/>
  <c r="G239" i="4" s="1"/>
  <c r="C239" i="3"/>
  <c r="B239" i="3"/>
  <c r="G238" i="3"/>
  <c r="F238" i="3"/>
  <c r="E238" i="3"/>
  <c r="I238" i="3" s="1"/>
  <c r="D238" i="4" s="1"/>
  <c r="D238" i="3"/>
  <c r="L238" i="3" s="1"/>
  <c r="G238" i="4" s="1"/>
  <c r="C238" i="3"/>
  <c r="B238" i="3"/>
  <c r="G237" i="3"/>
  <c r="F237" i="3"/>
  <c r="E237" i="3"/>
  <c r="I237" i="3" s="1"/>
  <c r="D237" i="4" s="1"/>
  <c r="D237" i="3"/>
  <c r="L237" i="3" s="1"/>
  <c r="G237" i="4" s="1"/>
  <c r="C237" i="3"/>
  <c r="B237" i="3"/>
  <c r="G236" i="3"/>
  <c r="F236" i="3"/>
  <c r="E236" i="3"/>
  <c r="I236" i="3" s="1"/>
  <c r="D236" i="4" s="1"/>
  <c r="D236" i="3"/>
  <c r="L236" i="3" s="1"/>
  <c r="G236" i="4" s="1"/>
  <c r="C236" i="3"/>
  <c r="B236" i="3"/>
  <c r="G235" i="3"/>
  <c r="F235" i="3"/>
  <c r="E235" i="3"/>
  <c r="I235" i="3" s="1"/>
  <c r="D235" i="4" s="1"/>
  <c r="D235" i="3"/>
  <c r="L235" i="3" s="1"/>
  <c r="G235" i="4" s="1"/>
  <c r="C235" i="3"/>
  <c r="B235" i="3"/>
  <c r="G234" i="3"/>
  <c r="F234" i="3"/>
  <c r="E234" i="3"/>
  <c r="I234" i="3" s="1"/>
  <c r="D234" i="4" s="1"/>
  <c r="D234" i="3"/>
  <c r="L234" i="3" s="1"/>
  <c r="G234" i="4" s="1"/>
  <c r="C234" i="3"/>
  <c r="B234" i="3"/>
  <c r="G233" i="3"/>
  <c r="F233" i="3"/>
  <c r="E233" i="3"/>
  <c r="I233" i="3" s="1"/>
  <c r="D233" i="4" s="1"/>
  <c r="D233" i="3"/>
  <c r="L233" i="3" s="1"/>
  <c r="G233" i="4" s="1"/>
  <c r="C233" i="3"/>
  <c r="B233" i="3"/>
  <c r="G232" i="3"/>
  <c r="F232" i="3"/>
  <c r="E232" i="3"/>
  <c r="I232" i="3" s="1"/>
  <c r="D232" i="4" s="1"/>
  <c r="D232" i="3"/>
  <c r="L232" i="3" s="1"/>
  <c r="G232" i="4" s="1"/>
  <c r="C232" i="3"/>
  <c r="B232" i="3"/>
  <c r="G231" i="3"/>
  <c r="F231" i="3"/>
  <c r="E231" i="3"/>
  <c r="I231" i="3" s="1"/>
  <c r="D231" i="4" s="1"/>
  <c r="D231" i="3"/>
  <c r="L231" i="3" s="1"/>
  <c r="G231" i="4" s="1"/>
  <c r="C231" i="3"/>
  <c r="B231" i="3"/>
  <c r="G230" i="3"/>
  <c r="F230" i="3"/>
  <c r="E230" i="3"/>
  <c r="I230" i="3" s="1"/>
  <c r="D230" i="4" s="1"/>
  <c r="D230" i="3"/>
  <c r="L230" i="3" s="1"/>
  <c r="G230" i="4" s="1"/>
  <c r="C230" i="3"/>
  <c r="B230" i="3"/>
  <c r="G229" i="3"/>
  <c r="F229" i="3"/>
  <c r="E229" i="3"/>
  <c r="I229" i="3" s="1"/>
  <c r="D229" i="4" s="1"/>
  <c r="D229" i="3"/>
  <c r="L229" i="3" s="1"/>
  <c r="G229" i="4" s="1"/>
  <c r="C229" i="3"/>
  <c r="B229" i="3"/>
  <c r="G228" i="3"/>
  <c r="F228" i="3"/>
  <c r="E228" i="3"/>
  <c r="I228" i="3" s="1"/>
  <c r="D228" i="4" s="1"/>
  <c r="D228" i="3"/>
  <c r="L228" i="3" s="1"/>
  <c r="G228" i="4" s="1"/>
  <c r="C228" i="3"/>
  <c r="B228" i="3"/>
  <c r="G227" i="3"/>
  <c r="F227" i="3"/>
  <c r="E227" i="3"/>
  <c r="I227" i="3" s="1"/>
  <c r="D227" i="4" s="1"/>
  <c r="D227" i="3"/>
  <c r="L227" i="3" s="1"/>
  <c r="G227" i="4" s="1"/>
  <c r="C227" i="3"/>
  <c r="B227" i="3"/>
  <c r="G226" i="3"/>
  <c r="F226" i="3"/>
  <c r="E226" i="3"/>
  <c r="I226" i="3" s="1"/>
  <c r="D226" i="4" s="1"/>
  <c r="D226" i="3"/>
  <c r="L226" i="3" s="1"/>
  <c r="G226" i="4" s="1"/>
  <c r="C226" i="3"/>
  <c r="B226" i="3"/>
  <c r="G225" i="3"/>
  <c r="F225" i="3"/>
  <c r="E225" i="3"/>
  <c r="I225" i="3" s="1"/>
  <c r="D225" i="4" s="1"/>
  <c r="D225" i="3"/>
  <c r="L225" i="3" s="1"/>
  <c r="G225" i="4" s="1"/>
  <c r="C225" i="3"/>
  <c r="B225" i="3"/>
  <c r="B225" i="4" s="1"/>
  <c r="B225" i="5" s="1"/>
  <c r="G224" i="3"/>
  <c r="F224" i="3"/>
  <c r="E224" i="3"/>
  <c r="I224" i="3" s="1"/>
  <c r="D224" i="4" s="1"/>
  <c r="D224" i="3"/>
  <c r="L224" i="3" s="1"/>
  <c r="G224" i="4" s="1"/>
  <c r="C224" i="3"/>
  <c r="B224" i="3"/>
  <c r="B224" i="4" s="1"/>
  <c r="B224" i="5" s="1"/>
  <c r="G223" i="3"/>
  <c r="F223" i="3"/>
  <c r="E223" i="3"/>
  <c r="I223" i="3" s="1"/>
  <c r="D223" i="4" s="1"/>
  <c r="D223" i="3"/>
  <c r="L223" i="3" s="1"/>
  <c r="G223" i="4" s="1"/>
  <c r="C223" i="3"/>
  <c r="B223" i="3"/>
  <c r="B223" i="4" s="1"/>
  <c r="B223" i="5" s="1"/>
  <c r="G222" i="3"/>
  <c r="F222" i="3"/>
  <c r="E222" i="3"/>
  <c r="I222" i="3" s="1"/>
  <c r="D222" i="4" s="1"/>
  <c r="D222" i="3"/>
  <c r="L222" i="3" s="1"/>
  <c r="G222" i="4" s="1"/>
  <c r="C222" i="3"/>
  <c r="B222" i="3"/>
  <c r="B222" i="4" s="1"/>
  <c r="B222" i="5" s="1"/>
  <c r="G221" i="3"/>
  <c r="F221" i="3"/>
  <c r="E221" i="3"/>
  <c r="I221" i="3" s="1"/>
  <c r="D221" i="4" s="1"/>
  <c r="D221" i="3"/>
  <c r="L221" i="3" s="1"/>
  <c r="G221" i="4" s="1"/>
  <c r="C221" i="3"/>
  <c r="B221" i="3"/>
  <c r="B221" i="4" s="1"/>
  <c r="B221" i="5" s="1"/>
  <c r="G220" i="3"/>
  <c r="F220" i="3"/>
  <c r="E220" i="3"/>
  <c r="I220" i="3" s="1"/>
  <c r="D220" i="4" s="1"/>
  <c r="D220" i="3"/>
  <c r="L220" i="3" s="1"/>
  <c r="G220" i="4" s="1"/>
  <c r="C220" i="3"/>
  <c r="B220" i="3"/>
  <c r="B220" i="4" s="1"/>
  <c r="B220" i="5" s="1"/>
  <c r="G219" i="3"/>
  <c r="F219" i="3"/>
  <c r="E219" i="3"/>
  <c r="I219" i="3" s="1"/>
  <c r="D219" i="4" s="1"/>
  <c r="D219" i="3"/>
  <c r="L219" i="3" s="1"/>
  <c r="G219" i="4" s="1"/>
  <c r="C219" i="3"/>
  <c r="B219" i="3"/>
  <c r="B219" i="4" s="1"/>
  <c r="B219" i="5" s="1"/>
  <c r="G218" i="3"/>
  <c r="F218" i="3"/>
  <c r="E218" i="3"/>
  <c r="I218" i="3" s="1"/>
  <c r="D218" i="4" s="1"/>
  <c r="D218" i="3"/>
  <c r="L218" i="3" s="1"/>
  <c r="G218" i="4" s="1"/>
  <c r="C218" i="3"/>
  <c r="B218" i="3"/>
  <c r="B218" i="4" s="1"/>
  <c r="B218" i="5" s="1"/>
  <c r="G217" i="3"/>
  <c r="F217" i="3"/>
  <c r="E217" i="3"/>
  <c r="I217" i="3" s="1"/>
  <c r="D217" i="4" s="1"/>
  <c r="D217" i="3"/>
  <c r="L217" i="3" s="1"/>
  <c r="G217" i="4" s="1"/>
  <c r="C217" i="3"/>
  <c r="B217" i="3"/>
  <c r="B217" i="4" s="1"/>
  <c r="B217" i="5" s="1"/>
  <c r="G216" i="3"/>
  <c r="F216" i="3"/>
  <c r="E216" i="3"/>
  <c r="I216" i="3" s="1"/>
  <c r="D216" i="4" s="1"/>
  <c r="D216" i="3"/>
  <c r="L216" i="3" s="1"/>
  <c r="G216" i="4" s="1"/>
  <c r="C216" i="3"/>
  <c r="B216" i="3"/>
  <c r="B216" i="4" s="1"/>
  <c r="B216" i="5" s="1"/>
  <c r="G215" i="3"/>
  <c r="F215" i="3"/>
  <c r="E215" i="3"/>
  <c r="I215" i="3" s="1"/>
  <c r="D215" i="4" s="1"/>
  <c r="D215" i="3"/>
  <c r="L215" i="3" s="1"/>
  <c r="G215" i="4" s="1"/>
  <c r="C215" i="3"/>
  <c r="B215" i="3"/>
  <c r="B215" i="4" s="1"/>
  <c r="B215" i="5" s="1"/>
  <c r="G214" i="3"/>
  <c r="F214" i="3"/>
  <c r="E214" i="3"/>
  <c r="I214" i="3" s="1"/>
  <c r="D214" i="4" s="1"/>
  <c r="D214" i="3"/>
  <c r="L214" i="3" s="1"/>
  <c r="G214" i="4" s="1"/>
  <c r="C214" i="3"/>
  <c r="B214" i="3"/>
  <c r="B214" i="4" s="1"/>
  <c r="B214" i="5" s="1"/>
  <c r="G213" i="3"/>
  <c r="F213" i="3"/>
  <c r="E213" i="3"/>
  <c r="I213" i="3" s="1"/>
  <c r="D213" i="4" s="1"/>
  <c r="D213" i="3"/>
  <c r="L213" i="3" s="1"/>
  <c r="G213" i="4" s="1"/>
  <c r="C213" i="3"/>
  <c r="B213" i="3"/>
  <c r="B213" i="4" s="1"/>
  <c r="B213" i="5" s="1"/>
  <c r="G212" i="3"/>
  <c r="F212" i="3"/>
  <c r="E212" i="3"/>
  <c r="I212" i="3" s="1"/>
  <c r="D212" i="4" s="1"/>
  <c r="D212" i="3"/>
  <c r="L212" i="3" s="1"/>
  <c r="G212" i="4" s="1"/>
  <c r="C212" i="3"/>
  <c r="B212" i="3"/>
  <c r="B212" i="4" s="1"/>
  <c r="B212" i="5" s="1"/>
  <c r="G211" i="3"/>
  <c r="F211" i="3"/>
  <c r="E211" i="3"/>
  <c r="I211" i="3" s="1"/>
  <c r="D211" i="4" s="1"/>
  <c r="D211" i="3"/>
  <c r="L211" i="3" s="1"/>
  <c r="G211" i="4" s="1"/>
  <c r="C211" i="3"/>
  <c r="B211" i="3"/>
  <c r="B211" i="4" s="1"/>
  <c r="B211" i="5" s="1"/>
  <c r="G210" i="3"/>
  <c r="F210" i="3"/>
  <c r="E210" i="3"/>
  <c r="I210" i="3" s="1"/>
  <c r="D210" i="4" s="1"/>
  <c r="D210" i="3"/>
  <c r="L210" i="3" s="1"/>
  <c r="G210" i="4" s="1"/>
  <c r="C210" i="3"/>
  <c r="B210" i="3"/>
  <c r="B210" i="4" s="1"/>
  <c r="B210" i="5" s="1"/>
  <c r="I209" i="3"/>
  <c r="D209" i="4" s="1"/>
  <c r="G209" i="3"/>
  <c r="F209" i="3"/>
  <c r="E209" i="3"/>
  <c r="D209" i="3"/>
  <c r="L209" i="3" s="1"/>
  <c r="G209" i="4" s="1"/>
  <c r="C209" i="3"/>
  <c r="B209" i="3"/>
  <c r="B209" i="4" s="1"/>
  <c r="B209" i="5" s="1"/>
  <c r="G208" i="3"/>
  <c r="F208" i="3"/>
  <c r="E208" i="3"/>
  <c r="I208" i="3" s="1"/>
  <c r="D208" i="4" s="1"/>
  <c r="D208" i="3"/>
  <c r="L208" i="3" s="1"/>
  <c r="G208" i="4" s="1"/>
  <c r="C208" i="3"/>
  <c r="B208" i="3"/>
  <c r="B208" i="4" s="1"/>
  <c r="B208" i="5" s="1"/>
  <c r="G207" i="3"/>
  <c r="F207" i="3"/>
  <c r="E207" i="3"/>
  <c r="I207" i="3" s="1"/>
  <c r="D207" i="4" s="1"/>
  <c r="D207" i="3"/>
  <c r="L207" i="3" s="1"/>
  <c r="G207" i="4" s="1"/>
  <c r="C207" i="3"/>
  <c r="B207" i="3"/>
  <c r="B207" i="4" s="1"/>
  <c r="B207" i="5" s="1"/>
  <c r="G206" i="3"/>
  <c r="F206" i="3"/>
  <c r="E206" i="3"/>
  <c r="I206" i="3" s="1"/>
  <c r="D206" i="4" s="1"/>
  <c r="D206" i="3"/>
  <c r="L206" i="3" s="1"/>
  <c r="G206" i="4" s="1"/>
  <c r="C206" i="3"/>
  <c r="B206" i="3"/>
  <c r="B206" i="4" s="1"/>
  <c r="B206" i="5" s="1"/>
  <c r="G205" i="3"/>
  <c r="F205" i="3"/>
  <c r="E205" i="3"/>
  <c r="I205" i="3" s="1"/>
  <c r="D205" i="4" s="1"/>
  <c r="D205" i="3"/>
  <c r="L205" i="3" s="1"/>
  <c r="G205" i="4" s="1"/>
  <c r="C205" i="3"/>
  <c r="B205" i="3"/>
  <c r="B205" i="4" s="1"/>
  <c r="B205" i="5" s="1"/>
  <c r="G204" i="3"/>
  <c r="F204" i="3"/>
  <c r="E204" i="3"/>
  <c r="I204" i="3" s="1"/>
  <c r="D204" i="4" s="1"/>
  <c r="D204" i="3"/>
  <c r="L204" i="3" s="1"/>
  <c r="G204" i="4" s="1"/>
  <c r="C204" i="3"/>
  <c r="B204" i="3"/>
  <c r="B204" i="4" s="1"/>
  <c r="B204" i="5" s="1"/>
  <c r="G203" i="3"/>
  <c r="F203" i="3"/>
  <c r="E203" i="3"/>
  <c r="I203" i="3" s="1"/>
  <c r="D203" i="4" s="1"/>
  <c r="D203" i="3"/>
  <c r="L203" i="3" s="1"/>
  <c r="G203" i="4" s="1"/>
  <c r="C203" i="3"/>
  <c r="B203" i="3"/>
  <c r="B203" i="4" s="1"/>
  <c r="B203" i="5" s="1"/>
  <c r="G202" i="3"/>
  <c r="F202" i="3"/>
  <c r="E202" i="3"/>
  <c r="I202" i="3" s="1"/>
  <c r="D202" i="4" s="1"/>
  <c r="D202" i="3"/>
  <c r="L202" i="3" s="1"/>
  <c r="G202" i="4" s="1"/>
  <c r="C202" i="3"/>
  <c r="B202" i="3"/>
  <c r="B202" i="4" s="1"/>
  <c r="B202" i="5" s="1"/>
  <c r="G201" i="3"/>
  <c r="F201" i="3"/>
  <c r="E201" i="3"/>
  <c r="I201" i="3" s="1"/>
  <c r="D201" i="4" s="1"/>
  <c r="D201" i="3"/>
  <c r="L201" i="3" s="1"/>
  <c r="G201" i="4" s="1"/>
  <c r="C201" i="3"/>
  <c r="B201" i="3"/>
  <c r="B201" i="4" s="1"/>
  <c r="B201" i="5" s="1"/>
  <c r="G200" i="3"/>
  <c r="F200" i="3"/>
  <c r="E200" i="3"/>
  <c r="I200" i="3" s="1"/>
  <c r="D200" i="4" s="1"/>
  <c r="D200" i="3"/>
  <c r="L200" i="3" s="1"/>
  <c r="G200" i="4" s="1"/>
  <c r="C200" i="3"/>
  <c r="B200" i="3"/>
  <c r="B200" i="4" s="1"/>
  <c r="B200" i="5" s="1"/>
  <c r="G199" i="3"/>
  <c r="F199" i="3"/>
  <c r="E199" i="3"/>
  <c r="I199" i="3" s="1"/>
  <c r="D199" i="4" s="1"/>
  <c r="D199" i="3"/>
  <c r="L199" i="3" s="1"/>
  <c r="G199" i="4" s="1"/>
  <c r="C199" i="3"/>
  <c r="B199" i="3"/>
  <c r="B199" i="4" s="1"/>
  <c r="B199" i="5" s="1"/>
  <c r="G198" i="3"/>
  <c r="F198" i="3"/>
  <c r="E198" i="3"/>
  <c r="I198" i="3" s="1"/>
  <c r="D198" i="4" s="1"/>
  <c r="D198" i="3"/>
  <c r="L198" i="3" s="1"/>
  <c r="G198" i="4" s="1"/>
  <c r="C198" i="3"/>
  <c r="B198" i="3"/>
  <c r="B198" i="4" s="1"/>
  <c r="B198" i="5" s="1"/>
  <c r="G197" i="3"/>
  <c r="F197" i="3"/>
  <c r="E197" i="3"/>
  <c r="I197" i="3" s="1"/>
  <c r="D197" i="4" s="1"/>
  <c r="D197" i="3"/>
  <c r="L197" i="3" s="1"/>
  <c r="G197" i="4" s="1"/>
  <c r="C197" i="3"/>
  <c r="B197" i="3"/>
  <c r="B197" i="4" s="1"/>
  <c r="B197" i="5" s="1"/>
  <c r="G196" i="3"/>
  <c r="F196" i="3"/>
  <c r="E196" i="3"/>
  <c r="I196" i="3" s="1"/>
  <c r="D196" i="4" s="1"/>
  <c r="D196" i="3"/>
  <c r="L196" i="3" s="1"/>
  <c r="G196" i="4" s="1"/>
  <c r="C196" i="3"/>
  <c r="B196" i="3"/>
  <c r="B196" i="4" s="1"/>
  <c r="B196" i="5" s="1"/>
  <c r="G195" i="3"/>
  <c r="F195" i="3"/>
  <c r="E195" i="3"/>
  <c r="I195" i="3" s="1"/>
  <c r="D195" i="4" s="1"/>
  <c r="D195" i="3"/>
  <c r="L195" i="3" s="1"/>
  <c r="G195" i="4" s="1"/>
  <c r="C195" i="3"/>
  <c r="B195" i="3"/>
  <c r="B195" i="4" s="1"/>
  <c r="B195" i="5" s="1"/>
  <c r="G194" i="3"/>
  <c r="F194" i="3"/>
  <c r="E194" i="3"/>
  <c r="I194" i="3" s="1"/>
  <c r="D194" i="4" s="1"/>
  <c r="D194" i="3"/>
  <c r="L194" i="3" s="1"/>
  <c r="G194" i="4" s="1"/>
  <c r="C194" i="3"/>
  <c r="B194" i="3"/>
  <c r="B194" i="4" s="1"/>
  <c r="B194" i="5" s="1"/>
  <c r="G193" i="3"/>
  <c r="F193" i="3"/>
  <c r="E193" i="3"/>
  <c r="I193" i="3" s="1"/>
  <c r="D193" i="4" s="1"/>
  <c r="D193" i="3"/>
  <c r="L193" i="3" s="1"/>
  <c r="G193" i="4" s="1"/>
  <c r="C193" i="3"/>
  <c r="B193" i="3"/>
  <c r="B193" i="4" s="1"/>
  <c r="B193" i="5" s="1"/>
  <c r="G192" i="3"/>
  <c r="F192" i="3"/>
  <c r="E192" i="3"/>
  <c r="I192" i="3" s="1"/>
  <c r="D192" i="4" s="1"/>
  <c r="D192" i="3"/>
  <c r="L192" i="3" s="1"/>
  <c r="G192" i="4" s="1"/>
  <c r="C192" i="3"/>
  <c r="B192" i="3"/>
  <c r="B192" i="4" s="1"/>
  <c r="B192" i="5" s="1"/>
  <c r="G191" i="3"/>
  <c r="F191" i="3"/>
  <c r="E191" i="3"/>
  <c r="I191" i="3" s="1"/>
  <c r="D191" i="4" s="1"/>
  <c r="D191" i="3"/>
  <c r="L191" i="3" s="1"/>
  <c r="G191" i="4" s="1"/>
  <c r="C191" i="3"/>
  <c r="B191" i="3"/>
  <c r="B191" i="4" s="1"/>
  <c r="B191" i="5" s="1"/>
  <c r="G190" i="3"/>
  <c r="F190" i="3"/>
  <c r="E190" i="3"/>
  <c r="I190" i="3" s="1"/>
  <c r="D190" i="4" s="1"/>
  <c r="D190" i="3"/>
  <c r="L190" i="3" s="1"/>
  <c r="G190" i="4" s="1"/>
  <c r="C190" i="3"/>
  <c r="B190" i="3"/>
  <c r="B190" i="4" s="1"/>
  <c r="B190" i="5" s="1"/>
  <c r="G189" i="3"/>
  <c r="F189" i="3"/>
  <c r="E189" i="3"/>
  <c r="I189" i="3" s="1"/>
  <c r="D189" i="4" s="1"/>
  <c r="D189" i="3"/>
  <c r="L189" i="3" s="1"/>
  <c r="G189" i="4" s="1"/>
  <c r="C189" i="3"/>
  <c r="B189" i="3"/>
  <c r="B189" i="4" s="1"/>
  <c r="B189" i="5" s="1"/>
  <c r="G188" i="3"/>
  <c r="F188" i="3"/>
  <c r="E188" i="3"/>
  <c r="I188" i="3" s="1"/>
  <c r="D188" i="4" s="1"/>
  <c r="D188" i="3"/>
  <c r="L188" i="3" s="1"/>
  <c r="G188" i="4" s="1"/>
  <c r="C188" i="3"/>
  <c r="B188" i="3"/>
  <c r="B188" i="4" s="1"/>
  <c r="B188" i="5" s="1"/>
  <c r="L187" i="3"/>
  <c r="G187" i="4" s="1"/>
  <c r="I187" i="3"/>
  <c r="D187" i="4" s="1"/>
  <c r="G187" i="3"/>
  <c r="F187" i="3"/>
  <c r="E187" i="3"/>
  <c r="D187" i="3"/>
  <c r="C187" i="3"/>
  <c r="B187" i="3"/>
  <c r="G186" i="3"/>
  <c r="F186" i="3"/>
  <c r="E186" i="3"/>
  <c r="I186" i="3" s="1"/>
  <c r="D186" i="4" s="1"/>
  <c r="D186" i="3"/>
  <c r="L186" i="3" s="1"/>
  <c r="G186" i="4" s="1"/>
  <c r="C186" i="3"/>
  <c r="B186" i="3"/>
  <c r="G185" i="3"/>
  <c r="F185" i="3"/>
  <c r="E185" i="3"/>
  <c r="I185" i="3" s="1"/>
  <c r="D185" i="4" s="1"/>
  <c r="D185" i="3"/>
  <c r="L185" i="3" s="1"/>
  <c r="G185" i="4" s="1"/>
  <c r="C185" i="3"/>
  <c r="B185" i="3"/>
  <c r="G184" i="3"/>
  <c r="F184" i="3"/>
  <c r="E184" i="3"/>
  <c r="I184" i="3" s="1"/>
  <c r="D184" i="4" s="1"/>
  <c r="D184" i="3"/>
  <c r="L184" i="3" s="1"/>
  <c r="G184" i="4" s="1"/>
  <c r="C184" i="3"/>
  <c r="B184" i="3"/>
  <c r="G183" i="3"/>
  <c r="F183" i="3"/>
  <c r="E183" i="3"/>
  <c r="I183" i="3" s="1"/>
  <c r="D183" i="4" s="1"/>
  <c r="D183" i="3"/>
  <c r="L183" i="3" s="1"/>
  <c r="G183" i="4" s="1"/>
  <c r="C183" i="3"/>
  <c r="B183" i="3"/>
  <c r="G182" i="3"/>
  <c r="F182" i="3"/>
  <c r="E182" i="3"/>
  <c r="I182" i="3" s="1"/>
  <c r="D182" i="4" s="1"/>
  <c r="D182" i="3"/>
  <c r="L182" i="3" s="1"/>
  <c r="G182" i="4" s="1"/>
  <c r="C182" i="3"/>
  <c r="B182" i="3"/>
  <c r="G181" i="3"/>
  <c r="F181" i="3"/>
  <c r="E181" i="3"/>
  <c r="I181" i="3" s="1"/>
  <c r="D181" i="4" s="1"/>
  <c r="D181" i="3"/>
  <c r="L181" i="3" s="1"/>
  <c r="G181" i="4" s="1"/>
  <c r="C181" i="3"/>
  <c r="B181" i="3"/>
  <c r="G180" i="3"/>
  <c r="F180" i="3"/>
  <c r="E180" i="3"/>
  <c r="I180" i="3" s="1"/>
  <c r="D180" i="4" s="1"/>
  <c r="D180" i="3"/>
  <c r="L180" i="3" s="1"/>
  <c r="G180" i="4" s="1"/>
  <c r="C180" i="3"/>
  <c r="B180" i="3"/>
  <c r="G179" i="3"/>
  <c r="F179" i="3"/>
  <c r="E179" i="3"/>
  <c r="I179" i="3" s="1"/>
  <c r="D179" i="4" s="1"/>
  <c r="D179" i="3"/>
  <c r="L179" i="3" s="1"/>
  <c r="G179" i="4" s="1"/>
  <c r="C179" i="3"/>
  <c r="B179" i="3"/>
  <c r="G178" i="3"/>
  <c r="F178" i="3"/>
  <c r="E178" i="3"/>
  <c r="I178" i="3" s="1"/>
  <c r="D178" i="4" s="1"/>
  <c r="D178" i="3"/>
  <c r="L178" i="3" s="1"/>
  <c r="G178" i="4" s="1"/>
  <c r="C178" i="3"/>
  <c r="B178" i="3"/>
  <c r="G177" i="3"/>
  <c r="F177" i="3"/>
  <c r="E177" i="3"/>
  <c r="I177" i="3" s="1"/>
  <c r="D177" i="4" s="1"/>
  <c r="D177" i="3"/>
  <c r="L177" i="3" s="1"/>
  <c r="G177" i="4" s="1"/>
  <c r="C177" i="3"/>
  <c r="B177" i="3"/>
  <c r="G176" i="3"/>
  <c r="F176" i="3"/>
  <c r="E176" i="3"/>
  <c r="I176" i="3" s="1"/>
  <c r="D176" i="4" s="1"/>
  <c r="D176" i="3"/>
  <c r="L176" i="3" s="1"/>
  <c r="G176" i="4" s="1"/>
  <c r="C176" i="3"/>
  <c r="B176" i="3"/>
  <c r="G175" i="3"/>
  <c r="F175" i="3"/>
  <c r="E175" i="3"/>
  <c r="I175" i="3" s="1"/>
  <c r="D175" i="4" s="1"/>
  <c r="D175" i="3"/>
  <c r="L175" i="3" s="1"/>
  <c r="G175" i="4" s="1"/>
  <c r="C175" i="3"/>
  <c r="B175" i="3"/>
  <c r="G174" i="3"/>
  <c r="F174" i="3"/>
  <c r="E174" i="3"/>
  <c r="I174" i="3" s="1"/>
  <c r="D174" i="4" s="1"/>
  <c r="D174" i="3"/>
  <c r="L174" i="3" s="1"/>
  <c r="G174" i="4" s="1"/>
  <c r="C174" i="3"/>
  <c r="B174" i="3"/>
  <c r="G173" i="3"/>
  <c r="F173" i="3"/>
  <c r="E173" i="3"/>
  <c r="I173" i="3" s="1"/>
  <c r="D173" i="4" s="1"/>
  <c r="D173" i="3"/>
  <c r="L173" i="3" s="1"/>
  <c r="G173" i="4" s="1"/>
  <c r="C173" i="3"/>
  <c r="B173" i="3"/>
  <c r="G172" i="3"/>
  <c r="F172" i="3"/>
  <c r="E172" i="3"/>
  <c r="I172" i="3" s="1"/>
  <c r="D172" i="4" s="1"/>
  <c r="D172" i="3"/>
  <c r="L172" i="3" s="1"/>
  <c r="G172" i="4" s="1"/>
  <c r="C172" i="3"/>
  <c r="B172" i="3"/>
  <c r="G171" i="3"/>
  <c r="F171" i="3"/>
  <c r="E171" i="3"/>
  <c r="I171" i="3" s="1"/>
  <c r="D171" i="4" s="1"/>
  <c r="D171" i="3"/>
  <c r="L171" i="3" s="1"/>
  <c r="G171" i="4" s="1"/>
  <c r="C171" i="3"/>
  <c r="B171" i="3"/>
  <c r="G170" i="3"/>
  <c r="F170" i="3"/>
  <c r="E170" i="3"/>
  <c r="I170" i="3" s="1"/>
  <c r="D170" i="4" s="1"/>
  <c r="D170" i="3"/>
  <c r="L170" i="3" s="1"/>
  <c r="G170" i="4" s="1"/>
  <c r="C170" i="3"/>
  <c r="B170" i="3"/>
  <c r="G169" i="3"/>
  <c r="F169" i="3"/>
  <c r="E169" i="3"/>
  <c r="I169" i="3" s="1"/>
  <c r="D169" i="4" s="1"/>
  <c r="D169" i="3"/>
  <c r="L169" i="3" s="1"/>
  <c r="G169" i="4" s="1"/>
  <c r="C169" i="3"/>
  <c r="B169" i="3"/>
  <c r="G168" i="3"/>
  <c r="F168" i="3"/>
  <c r="E168" i="3"/>
  <c r="I168" i="3" s="1"/>
  <c r="D168" i="4" s="1"/>
  <c r="D168" i="3"/>
  <c r="L168" i="3" s="1"/>
  <c r="G168" i="4" s="1"/>
  <c r="C168" i="3"/>
  <c r="B168" i="3"/>
  <c r="G167" i="3"/>
  <c r="F167" i="3"/>
  <c r="E167" i="3"/>
  <c r="I167" i="3" s="1"/>
  <c r="D167" i="4" s="1"/>
  <c r="D167" i="3"/>
  <c r="L167" i="3" s="1"/>
  <c r="G167" i="4" s="1"/>
  <c r="C167" i="3"/>
  <c r="B167" i="3"/>
  <c r="G166" i="3"/>
  <c r="F166" i="3"/>
  <c r="E166" i="3"/>
  <c r="I166" i="3" s="1"/>
  <c r="D166" i="4" s="1"/>
  <c r="D166" i="3"/>
  <c r="L166" i="3" s="1"/>
  <c r="G166" i="4" s="1"/>
  <c r="C166" i="3"/>
  <c r="B166" i="3"/>
  <c r="G165" i="3"/>
  <c r="F165" i="3"/>
  <c r="E165" i="3"/>
  <c r="I165" i="3" s="1"/>
  <c r="D165" i="4" s="1"/>
  <c r="D165" i="3"/>
  <c r="L165" i="3" s="1"/>
  <c r="G165" i="4" s="1"/>
  <c r="C165" i="3"/>
  <c r="B165" i="3"/>
  <c r="G164" i="3"/>
  <c r="F164" i="3"/>
  <c r="E164" i="3"/>
  <c r="I164" i="3" s="1"/>
  <c r="D164" i="4" s="1"/>
  <c r="D164" i="3"/>
  <c r="L164" i="3" s="1"/>
  <c r="G164" i="4" s="1"/>
  <c r="C164" i="3"/>
  <c r="B164" i="3"/>
  <c r="G163" i="3"/>
  <c r="F163" i="3"/>
  <c r="E163" i="3"/>
  <c r="I163" i="3" s="1"/>
  <c r="D163" i="4" s="1"/>
  <c r="D163" i="3"/>
  <c r="L163" i="3" s="1"/>
  <c r="G163" i="4" s="1"/>
  <c r="C163" i="3"/>
  <c r="B163" i="3"/>
  <c r="G162" i="3"/>
  <c r="F162" i="3"/>
  <c r="E162" i="3"/>
  <c r="I162" i="3" s="1"/>
  <c r="D162" i="4" s="1"/>
  <c r="D162" i="3"/>
  <c r="L162" i="3" s="1"/>
  <c r="G162" i="4" s="1"/>
  <c r="C162" i="3"/>
  <c r="B162" i="3"/>
  <c r="G161" i="3"/>
  <c r="F161" i="3"/>
  <c r="E161" i="3"/>
  <c r="I161" i="3" s="1"/>
  <c r="D161" i="4" s="1"/>
  <c r="D161" i="3"/>
  <c r="L161" i="3" s="1"/>
  <c r="G161" i="4" s="1"/>
  <c r="C161" i="3"/>
  <c r="B161" i="3"/>
  <c r="G160" i="3"/>
  <c r="F160" i="3"/>
  <c r="E160" i="3"/>
  <c r="I160" i="3" s="1"/>
  <c r="D160" i="4" s="1"/>
  <c r="D160" i="3"/>
  <c r="L160" i="3" s="1"/>
  <c r="G160" i="4" s="1"/>
  <c r="C160" i="3"/>
  <c r="B160" i="3"/>
  <c r="G159" i="3"/>
  <c r="F159" i="3"/>
  <c r="E159" i="3"/>
  <c r="I159" i="3" s="1"/>
  <c r="D159" i="4" s="1"/>
  <c r="D159" i="3"/>
  <c r="L159" i="3" s="1"/>
  <c r="G159" i="4" s="1"/>
  <c r="C159" i="3"/>
  <c r="B159" i="3"/>
  <c r="G158" i="3"/>
  <c r="F158" i="3"/>
  <c r="E158" i="3"/>
  <c r="I158" i="3" s="1"/>
  <c r="D158" i="4" s="1"/>
  <c r="D158" i="3"/>
  <c r="L158" i="3" s="1"/>
  <c r="G158" i="4" s="1"/>
  <c r="C158" i="3"/>
  <c r="B158" i="3"/>
  <c r="G157" i="3"/>
  <c r="F157" i="3"/>
  <c r="E157" i="3"/>
  <c r="I157" i="3" s="1"/>
  <c r="D157" i="4" s="1"/>
  <c r="D157" i="3"/>
  <c r="L157" i="3" s="1"/>
  <c r="G157" i="4" s="1"/>
  <c r="C157" i="3"/>
  <c r="B157" i="3"/>
  <c r="B157" i="4" s="1"/>
  <c r="B157" i="5" s="1"/>
  <c r="G156" i="3"/>
  <c r="F156" i="3"/>
  <c r="E156" i="3"/>
  <c r="I156" i="3" s="1"/>
  <c r="D156" i="4" s="1"/>
  <c r="D156" i="3"/>
  <c r="L156" i="3" s="1"/>
  <c r="G156" i="4" s="1"/>
  <c r="C156" i="3"/>
  <c r="B156" i="3"/>
  <c r="B156" i="4" s="1"/>
  <c r="B156" i="5" s="1"/>
  <c r="G155" i="3"/>
  <c r="F155" i="3"/>
  <c r="E155" i="3"/>
  <c r="I155" i="3" s="1"/>
  <c r="D155" i="4" s="1"/>
  <c r="D155" i="3"/>
  <c r="L155" i="3" s="1"/>
  <c r="G155" i="4" s="1"/>
  <c r="C155" i="3"/>
  <c r="B155" i="3"/>
  <c r="B155" i="4" s="1"/>
  <c r="B155" i="5" s="1"/>
  <c r="G154" i="3"/>
  <c r="F154" i="3"/>
  <c r="E154" i="3"/>
  <c r="I154" i="3" s="1"/>
  <c r="D154" i="4" s="1"/>
  <c r="D154" i="3"/>
  <c r="L154" i="3" s="1"/>
  <c r="G154" i="4" s="1"/>
  <c r="C154" i="3"/>
  <c r="B154" i="3"/>
  <c r="B154" i="4" s="1"/>
  <c r="B154" i="5" s="1"/>
  <c r="G153" i="3"/>
  <c r="F153" i="3"/>
  <c r="E153" i="3"/>
  <c r="I153" i="3" s="1"/>
  <c r="D153" i="4" s="1"/>
  <c r="D153" i="3"/>
  <c r="L153" i="3" s="1"/>
  <c r="G153" i="4" s="1"/>
  <c r="C153" i="3"/>
  <c r="B153" i="3"/>
  <c r="B153" i="4" s="1"/>
  <c r="B153" i="5" s="1"/>
  <c r="G152" i="3"/>
  <c r="F152" i="3"/>
  <c r="E152" i="3"/>
  <c r="I152" i="3" s="1"/>
  <c r="D152" i="4" s="1"/>
  <c r="D152" i="3"/>
  <c r="L152" i="3" s="1"/>
  <c r="G152" i="4" s="1"/>
  <c r="C152" i="3"/>
  <c r="B152" i="3"/>
  <c r="B152" i="4" s="1"/>
  <c r="B152" i="5" s="1"/>
  <c r="G151" i="3"/>
  <c r="F151" i="3"/>
  <c r="E151" i="3"/>
  <c r="I151" i="3" s="1"/>
  <c r="D151" i="4" s="1"/>
  <c r="D151" i="3"/>
  <c r="L151" i="3" s="1"/>
  <c r="G151" i="4" s="1"/>
  <c r="C151" i="3"/>
  <c r="B151" i="3"/>
  <c r="B151" i="4" s="1"/>
  <c r="B151" i="5" s="1"/>
  <c r="G150" i="3"/>
  <c r="F150" i="3"/>
  <c r="E150" i="3"/>
  <c r="I150" i="3" s="1"/>
  <c r="D150" i="4" s="1"/>
  <c r="D150" i="3"/>
  <c r="L150" i="3" s="1"/>
  <c r="G150" i="4" s="1"/>
  <c r="C150" i="3"/>
  <c r="B150" i="3"/>
  <c r="B150" i="4" s="1"/>
  <c r="B150" i="5" s="1"/>
  <c r="G149" i="3"/>
  <c r="F149" i="3"/>
  <c r="E149" i="3"/>
  <c r="I149" i="3" s="1"/>
  <c r="D149" i="4" s="1"/>
  <c r="D149" i="3"/>
  <c r="L149" i="3" s="1"/>
  <c r="G149" i="4" s="1"/>
  <c r="C149" i="3"/>
  <c r="B149" i="3"/>
  <c r="B149" i="4" s="1"/>
  <c r="B149" i="5" s="1"/>
  <c r="G148" i="3"/>
  <c r="F148" i="3"/>
  <c r="E148" i="3"/>
  <c r="I148" i="3" s="1"/>
  <c r="D148" i="4" s="1"/>
  <c r="D148" i="3"/>
  <c r="L148" i="3" s="1"/>
  <c r="G148" i="4" s="1"/>
  <c r="C148" i="3"/>
  <c r="B148" i="3"/>
  <c r="B148" i="4" s="1"/>
  <c r="B148" i="5" s="1"/>
  <c r="G147" i="3"/>
  <c r="F147" i="3"/>
  <c r="E147" i="3"/>
  <c r="I147" i="3" s="1"/>
  <c r="D147" i="4" s="1"/>
  <c r="D147" i="3"/>
  <c r="L147" i="3" s="1"/>
  <c r="G147" i="4" s="1"/>
  <c r="C147" i="3"/>
  <c r="B147" i="3"/>
  <c r="B147" i="4" s="1"/>
  <c r="B147" i="5" s="1"/>
  <c r="G146" i="3"/>
  <c r="F146" i="3"/>
  <c r="E146" i="3"/>
  <c r="I146" i="3" s="1"/>
  <c r="D146" i="4" s="1"/>
  <c r="D146" i="3"/>
  <c r="L146" i="3" s="1"/>
  <c r="G146" i="4" s="1"/>
  <c r="C146" i="3"/>
  <c r="B146" i="3"/>
  <c r="B146" i="4" s="1"/>
  <c r="B146" i="5" s="1"/>
  <c r="G145" i="3"/>
  <c r="F145" i="3"/>
  <c r="E145" i="3"/>
  <c r="I145" i="3" s="1"/>
  <c r="D145" i="4" s="1"/>
  <c r="D145" i="3"/>
  <c r="L145" i="3" s="1"/>
  <c r="G145" i="4" s="1"/>
  <c r="C145" i="3"/>
  <c r="B145" i="3"/>
  <c r="B145" i="4" s="1"/>
  <c r="B145" i="5" s="1"/>
  <c r="G144" i="3"/>
  <c r="F144" i="3"/>
  <c r="E144" i="3"/>
  <c r="I144" i="3" s="1"/>
  <c r="D144" i="4" s="1"/>
  <c r="D144" i="3"/>
  <c r="L144" i="3" s="1"/>
  <c r="G144" i="4" s="1"/>
  <c r="C144" i="3"/>
  <c r="B144" i="3"/>
  <c r="B144" i="4" s="1"/>
  <c r="B144" i="5" s="1"/>
  <c r="G143" i="3"/>
  <c r="F143" i="3"/>
  <c r="E143" i="3"/>
  <c r="I143" i="3" s="1"/>
  <c r="D143" i="4" s="1"/>
  <c r="D143" i="3"/>
  <c r="L143" i="3" s="1"/>
  <c r="G143" i="4" s="1"/>
  <c r="C143" i="3"/>
  <c r="B143" i="3"/>
  <c r="B143" i="4" s="1"/>
  <c r="B143" i="5" s="1"/>
  <c r="G142" i="3"/>
  <c r="F142" i="3"/>
  <c r="E142" i="3"/>
  <c r="I142" i="3" s="1"/>
  <c r="D142" i="4" s="1"/>
  <c r="D142" i="3"/>
  <c r="L142" i="3" s="1"/>
  <c r="G142" i="4" s="1"/>
  <c r="C142" i="3"/>
  <c r="B142" i="3"/>
  <c r="B142" i="4" s="1"/>
  <c r="B142" i="5" s="1"/>
  <c r="G141" i="3"/>
  <c r="F141" i="3"/>
  <c r="E141" i="3"/>
  <c r="I141" i="3" s="1"/>
  <c r="D141" i="4" s="1"/>
  <c r="D141" i="3"/>
  <c r="L141" i="3" s="1"/>
  <c r="G141" i="4" s="1"/>
  <c r="C141" i="3"/>
  <c r="B141" i="3"/>
  <c r="B141" i="4" s="1"/>
  <c r="B141" i="5" s="1"/>
  <c r="G140" i="3"/>
  <c r="F140" i="3"/>
  <c r="E140" i="3"/>
  <c r="I140" i="3" s="1"/>
  <c r="D140" i="4" s="1"/>
  <c r="D140" i="3"/>
  <c r="L140" i="3" s="1"/>
  <c r="G140" i="4" s="1"/>
  <c r="C140" i="3"/>
  <c r="B140" i="3"/>
  <c r="B140" i="4" s="1"/>
  <c r="B140" i="5" s="1"/>
  <c r="G139" i="3"/>
  <c r="F139" i="3"/>
  <c r="E139" i="3"/>
  <c r="I139" i="3" s="1"/>
  <c r="D139" i="4" s="1"/>
  <c r="D139" i="3"/>
  <c r="L139" i="3" s="1"/>
  <c r="G139" i="4" s="1"/>
  <c r="C139" i="3"/>
  <c r="B139" i="3"/>
  <c r="B139" i="4" s="1"/>
  <c r="B139" i="5" s="1"/>
  <c r="G138" i="3"/>
  <c r="F138" i="3"/>
  <c r="E138" i="3"/>
  <c r="I138" i="3" s="1"/>
  <c r="D138" i="4" s="1"/>
  <c r="D138" i="3"/>
  <c r="L138" i="3" s="1"/>
  <c r="G138" i="4" s="1"/>
  <c r="C138" i="3"/>
  <c r="B138" i="3"/>
  <c r="B138" i="4" s="1"/>
  <c r="B138" i="5" s="1"/>
  <c r="G137" i="3"/>
  <c r="F137" i="3"/>
  <c r="E137" i="3"/>
  <c r="I137" i="3" s="1"/>
  <c r="D137" i="4" s="1"/>
  <c r="D137" i="3"/>
  <c r="L137" i="3" s="1"/>
  <c r="G137" i="4" s="1"/>
  <c r="C137" i="3"/>
  <c r="B137" i="3"/>
  <c r="B137" i="4" s="1"/>
  <c r="B137" i="5" s="1"/>
  <c r="G136" i="3"/>
  <c r="F136" i="3"/>
  <c r="E136" i="3"/>
  <c r="I136" i="3" s="1"/>
  <c r="D136" i="4" s="1"/>
  <c r="D136" i="3"/>
  <c r="L136" i="3" s="1"/>
  <c r="G136" i="4" s="1"/>
  <c r="C136" i="3"/>
  <c r="B136" i="3"/>
  <c r="B136" i="4" s="1"/>
  <c r="B136" i="5" s="1"/>
  <c r="G135" i="3"/>
  <c r="F135" i="3"/>
  <c r="E135" i="3"/>
  <c r="I135" i="3" s="1"/>
  <c r="D135" i="4" s="1"/>
  <c r="D135" i="3"/>
  <c r="L135" i="3" s="1"/>
  <c r="G135" i="4" s="1"/>
  <c r="C135" i="3"/>
  <c r="B135" i="3"/>
  <c r="B135" i="4" s="1"/>
  <c r="B135" i="5" s="1"/>
  <c r="G134" i="3"/>
  <c r="F134" i="3"/>
  <c r="E134" i="3"/>
  <c r="I134" i="3" s="1"/>
  <c r="D134" i="4" s="1"/>
  <c r="D134" i="3"/>
  <c r="L134" i="3" s="1"/>
  <c r="G134" i="4" s="1"/>
  <c r="C134" i="3"/>
  <c r="B134" i="3"/>
  <c r="B134" i="4" s="1"/>
  <c r="B134" i="5" s="1"/>
  <c r="G133" i="3"/>
  <c r="F133" i="3"/>
  <c r="E133" i="3"/>
  <c r="I133" i="3" s="1"/>
  <c r="D133" i="4" s="1"/>
  <c r="D133" i="3"/>
  <c r="L133" i="3" s="1"/>
  <c r="G133" i="4" s="1"/>
  <c r="C133" i="3"/>
  <c r="B133" i="3"/>
  <c r="B133" i="4" s="1"/>
  <c r="B133" i="5" s="1"/>
  <c r="G132" i="3"/>
  <c r="F132" i="3"/>
  <c r="E132" i="3"/>
  <c r="I132" i="3" s="1"/>
  <c r="D132" i="4" s="1"/>
  <c r="D132" i="3"/>
  <c r="L132" i="3" s="1"/>
  <c r="G132" i="4" s="1"/>
  <c r="C132" i="3"/>
  <c r="B132" i="3"/>
  <c r="B132" i="4" s="1"/>
  <c r="B132" i="5" s="1"/>
  <c r="G131" i="3"/>
  <c r="F131" i="3"/>
  <c r="E131" i="3"/>
  <c r="I131" i="3" s="1"/>
  <c r="D131" i="4" s="1"/>
  <c r="D131" i="3"/>
  <c r="L131" i="3" s="1"/>
  <c r="G131" i="4" s="1"/>
  <c r="C131" i="3"/>
  <c r="B131" i="3"/>
  <c r="B131" i="4" s="1"/>
  <c r="B131" i="5" s="1"/>
  <c r="G130" i="3"/>
  <c r="F130" i="3"/>
  <c r="E130" i="3"/>
  <c r="I130" i="3" s="1"/>
  <c r="D130" i="4" s="1"/>
  <c r="D130" i="3"/>
  <c r="L130" i="3" s="1"/>
  <c r="G130" i="4" s="1"/>
  <c r="C130" i="3"/>
  <c r="B130" i="3"/>
  <c r="B130" i="4" s="1"/>
  <c r="B130" i="5" s="1"/>
  <c r="G129" i="3"/>
  <c r="F129" i="3"/>
  <c r="E129" i="3"/>
  <c r="I129" i="3" s="1"/>
  <c r="D129" i="4" s="1"/>
  <c r="D129" i="3"/>
  <c r="L129" i="3" s="1"/>
  <c r="G129" i="4" s="1"/>
  <c r="C129" i="3"/>
  <c r="B129" i="3"/>
  <c r="B129" i="4" s="1"/>
  <c r="B129" i="5" s="1"/>
  <c r="G128" i="3"/>
  <c r="F128" i="3"/>
  <c r="E128" i="3"/>
  <c r="I128" i="3" s="1"/>
  <c r="D128" i="4" s="1"/>
  <c r="D128" i="3"/>
  <c r="L128" i="3" s="1"/>
  <c r="G128" i="4" s="1"/>
  <c r="C128" i="3"/>
  <c r="B128" i="3"/>
  <c r="B128" i="4" s="1"/>
  <c r="B128" i="5" s="1"/>
  <c r="G127" i="3"/>
  <c r="F127" i="3"/>
  <c r="E127" i="3"/>
  <c r="I127" i="3" s="1"/>
  <c r="D127" i="4" s="1"/>
  <c r="D127" i="3"/>
  <c r="L127" i="3" s="1"/>
  <c r="G127" i="4" s="1"/>
  <c r="C127" i="3"/>
  <c r="B127" i="3"/>
  <c r="B127" i="4" s="1"/>
  <c r="B127" i="5" s="1"/>
  <c r="G126" i="3"/>
  <c r="F126" i="3"/>
  <c r="E126" i="3"/>
  <c r="I126" i="3" s="1"/>
  <c r="D126" i="4" s="1"/>
  <c r="D126" i="3"/>
  <c r="L126" i="3" s="1"/>
  <c r="G126" i="4" s="1"/>
  <c r="C126" i="3"/>
  <c r="B126" i="3"/>
  <c r="B126" i="4" s="1"/>
  <c r="B126" i="5" s="1"/>
  <c r="G125" i="3"/>
  <c r="F125" i="3"/>
  <c r="E125" i="3"/>
  <c r="I125" i="3" s="1"/>
  <c r="D125" i="4" s="1"/>
  <c r="D125" i="3"/>
  <c r="L125" i="3" s="1"/>
  <c r="G125" i="4" s="1"/>
  <c r="C125" i="3"/>
  <c r="B125" i="3"/>
  <c r="B125" i="4" s="1"/>
  <c r="B125" i="5" s="1"/>
  <c r="G124" i="3"/>
  <c r="F124" i="3"/>
  <c r="E124" i="3"/>
  <c r="I124" i="3" s="1"/>
  <c r="D124" i="4" s="1"/>
  <c r="D124" i="3"/>
  <c r="L124" i="3" s="1"/>
  <c r="G124" i="4" s="1"/>
  <c r="C124" i="3"/>
  <c r="B124" i="3"/>
  <c r="B124" i="4" s="1"/>
  <c r="B124" i="5" s="1"/>
  <c r="G123" i="3"/>
  <c r="F123" i="3"/>
  <c r="E123" i="3"/>
  <c r="I123" i="3" s="1"/>
  <c r="D123" i="4" s="1"/>
  <c r="D123" i="3"/>
  <c r="L123" i="3" s="1"/>
  <c r="G123" i="4" s="1"/>
  <c r="C123" i="3"/>
  <c r="B123" i="3"/>
  <c r="B123" i="4" s="1"/>
  <c r="B123" i="5" s="1"/>
  <c r="G122" i="3"/>
  <c r="F122" i="3"/>
  <c r="E122" i="3"/>
  <c r="I122" i="3" s="1"/>
  <c r="D122" i="4" s="1"/>
  <c r="D122" i="3"/>
  <c r="L122" i="3" s="1"/>
  <c r="G122" i="4" s="1"/>
  <c r="C122" i="3"/>
  <c r="B122" i="3"/>
  <c r="B122" i="4" s="1"/>
  <c r="B122" i="5" s="1"/>
  <c r="G121" i="3"/>
  <c r="F121" i="3"/>
  <c r="E121" i="3"/>
  <c r="I121" i="3" s="1"/>
  <c r="D121" i="4" s="1"/>
  <c r="D121" i="3"/>
  <c r="L121" i="3" s="1"/>
  <c r="G121" i="4" s="1"/>
  <c r="C121" i="3"/>
  <c r="B121" i="3"/>
  <c r="B121" i="4" s="1"/>
  <c r="B121" i="5" s="1"/>
  <c r="G120" i="3"/>
  <c r="F120" i="3"/>
  <c r="E120" i="3"/>
  <c r="I120" i="3" s="1"/>
  <c r="D120" i="4" s="1"/>
  <c r="D120" i="3"/>
  <c r="L120" i="3" s="1"/>
  <c r="G120" i="4" s="1"/>
  <c r="C120" i="3"/>
  <c r="B120" i="3"/>
  <c r="B120" i="4" s="1"/>
  <c r="B120" i="5" s="1"/>
  <c r="G119" i="3"/>
  <c r="F119" i="3"/>
  <c r="E119" i="3"/>
  <c r="I119" i="3" s="1"/>
  <c r="D119" i="4" s="1"/>
  <c r="D119" i="3"/>
  <c r="L119" i="3" s="1"/>
  <c r="G119" i="4" s="1"/>
  <c r="C119" i="3"/>
  <c r="B119" i="3"/>
  <c r="B119" i="4" s="1"/>
  <c r="B119" i="5" s="1"/>
  <c r="G118" i="3"/>
  <c r="F118" i="3"/>
  <c r="E118" i="3"/>
  <c r="I118" i="3" s="1"/>
  <c r="D118" i="4" s="1"/>
  <c r="D118" i="3"/>
  <c r="L118" i="3" s="1"/>
  <c r="G118" i="4" s="1"/>
  <c r="C118" i="3"/>
  <c r="B118" i="3"/>
  <c r="B118" i="4" s="1"/>
  <c r="B118" i="5" s="1"/>
  <c r="G117" i="3"/>
  <c r="F117" i="3"/>
  <c r="E117" i="3"/>
  <c r="I117" i="3" s="1"/>
  <c r="D117" i="4" s="1"/>
  <c r="D117" i="3"/>
  <c r="L117" i="3" s="1"/>
  <c r="G117" i="4" s="1"/>
  <c r="C117" i="3"/>
  <c r="B117" i="3"/>
  <c r="B117" i="4" s="1"/>
  <c r="B117" i="5" s="1"/>
  <c r="G116" i="3"/>
  <c r="F116" i="3"/>
  <c r="E116" i="3"/>
  <c r="I116" i="3" s="1"/>
  <c r="D116" i="4" s="1"/>
  <c r="D116" i="3"/>
  <c r="L116" i="3" s="1"/>
  <c r="G116" i="4" s="1"/>
  <c r="C116" i="3"/>
  <c r="B116" i="3"/>
  <c r="B116" i="4" s="1"/>
  <c r="B116" i="5" s="1"/>
  <c r="I115" i="3"/>
  <c r="D115" i="4" s="1"/>
  <c r="G115" i="3"/>
  <c r="F115" i="3"/>
  <c r="E115" i="3"/>
  <c r="D115" i="3"/>
  <c r="L115" i="3" s="1"/>
  <c r="G115" i="4" s="1"/>
  <c r="C115" i="3"/>
  <c r="B115" i="3"/>
  <c r="B115" i="4" s="1"/>
  <c r="B115" i="5" s="1"/>
  <c r="G114" i="3"/>
  <c r="F114" i="3"/>
  <c r="E114" i="3"/>
  <c r="I114" i="3" s="1"/>
  <c r="D114" i="4" s="1"/>
  <c r="D114" i="3"/>
  <c r="L114" i="3" s="1"/>
  <c r="G114" i="4" s="1"/>
  <c r="C114" i="3"/>
  <c r="B114" i="3"/>
  <c r="B114" i="4" s="1"/>
  <c r="B114" i="5" s="1"/>
  <c r="G113" i="3"/>
  <c r="F113" i="3"/>
  <c r="E113" i="3"/>
  <c r="I113" i="3" s="1"/>
  <c r="D113" i="4" s="1"/>
  <c r="D113" i="3"/>
  <c r="L113" i="3" s="1"/>
  <c r="G113" i="4" s="1"/>
  <c r="C113" i="3"/>
  <c r="B113" i="3"/>
  <c r="B113" i="4" s="1"/>
  <c r="B113" i="5" s="1"/>
  <c r="G112" i="3"/>
  <c r="F112" i="3"/>
  <c r="E112" i="3"/>
  <c r="I112" i="3" s="1"/>
  <c r="D112" i="4" s="1"/>
  <c r="D112" i="3"/>
  <c r="L112" i="3" s="1"/>
  <c r="G112" i="4" s="1"/>
  <c r="C112" i="3"/>
  <c r="B112" i="3"/>
  <c r="B112" i="4" s="1"/>
  <c r="B112" i="5" s="1"/>
  <c r="G111" i="3"/>
  <c r="F111" i="3"/>
  <c r="E111" i="3"/>
  <c r="I111" i="3" s="1"/>
  <c r="D111" i="4" s="1"/>
  <c r="D111" i="3"/>
  <c r="L111" i="3" s="1"/>
  <c r="G111" i="4" s="1"/>
  <c r="C111" i="3"/>
  <c r="B111" i="3"/>
  <c r="B111" i="4" s="1"/>
  <c r="B111" i="5" s="1"/>
  <c r="G110" i="3"/>
  <c r="F110" i="3"/>
  <c r="E110" i="3"/>
  <c r="I110" i="3" s="1"/>
  <c r="D110" i="4" s="1"/>
  <c r="D110" i="3"/>
  <c r="L110" i="3" s="1"/>
  <c r="G110" i="4" s="1"/>
  <c r="C110" i="3"/>
  <c r="B110" i="3"/>
  <c r="B110" i="4" s="1"/>
  <c r="B110" i="5" s="1"/>
  <c r="G109" i="3"/>
  <c r="F109" i="3"/>
  <c r="E109" i="3"/>
  <c r="I109" i="3" s="1"/>
  <c r="D109" i="4" s="1"/>
  <c r="D109" i="3"/>
  <c r="L109" i="3" s="1"/>
  <c r="G109" i="4" s="1"/>
  <c r="C109" i="3"/>
  <c r="B109" i="3"/>
  <c r="B109" i="4" s="1"/>
  <c r="B109" i="5" s="1"/>
  <c r="G108" i="3"/>
  <c r="F108" i="3"/>
  <c r="E108" i="3"/>
  <c r="I108" i="3" s="1"/>
  <c r="D108" i="4" s="1"/>
  <c r="D108" i="3"/>
  <c r="L108" i="3" s="1"/>
  <c r="G108" i="4" s="1"/>
  <c r="C108" i="3"/>
  <c r="B108" i="3"/>
  <c r="B108" i="4" s="1"/>
  <c r="B108" i="5" s="1"/>
  <c r="G107" i="3"/>
  <c r="F107" i="3"/>
  <c r="E107" i="3"/>
  <c r="I107" i="3" s="1"/>
  <c r="D107" i="4" s="1"/>
  <c r="D107" i="3"/>
  <c r="L107" i="3" s="1"/>
  <c r="G107" i="4" s="1"/>
  <c r="C107" i="3"/>
  <c r="B107" i="3"/>
  <c r="B107" i="4" s="1"/>
  <c r="B107" i="5" s="1"/>
  <c r="G106" i="3"/>
  <c r="F106" i="3"/>
  <c r="E106" i="3"/>
  <c r="I106" i="3" s="1"/>
  <c r="D106" i="4" s="1"/>
  <c r="D106" i="3"/>
  <c r="L106" i="3" s="1"/>
  <c r="G106" i="4" s="1"/>
  <c r="C106" i="3"/>
  <c r="B106" i="3"/>
  <c r="B106" i="4" s="1"/>
  <c r="B106" i="5" s="1"/>
  <c r="G105" i="3"/>
  <c r="F105" i="3"/>
  <c r="E105" i="3"/>
  <c r="I105" i="3" s="1"/>
  <c r="D105" i="4" s="1"/>
  <c r="D105" i="3"/>
  <c r="L105" i="3" s="1"/>
  <c r="G105" i="4" s="1"/>
  <c r="C105" i="3"/>
  <c r="B105" i="3"/>
  <c r="B105" i="4" s="1"/>
  <c r="B105" i="5" s="1"/>
  <c r="G104" i="3"/>
  <c r="F104" i="3"/>
  <c r="E104" i="3"/>
  <c r="I104" i="3" s="1"/>
  <c r="D104" i="4" s="1"/>
  <c r="D104" i="3"/>
  <c r="L104" i="3" s="1"/>
  <c r="G104" i="4" s="1"/>
  <c r="C104" i="3"/>
  <c r="B104" i="3"/>
  <c r="B104" i="4" s="1"/>
  <c r="B104" i="5" s="1"/>
  <c r="G103" i="3"/>
  <c r="F103" i="3"/>
  <c r="E103" i="3"/>
  <c r="I103" i="3" s="1"/>
  <c r="D103" i="4" s="1"/>
  <c r="D103" i="3"/>
  <c r="L103" i="3" s="1"/>
  <c r="G103" i="4" s="1"/>
  <c r="C103" i="3"/>
  <c r="B103" i="3"/>
  <c r="B103" i="4" s="1"/>
  <c r="B103" i="5" s="1"/>
  <c r="G102" i="3"/>
  <c r="F102" i="3"/>
  <c r="E102" i="3"/>
  <c r="I102" i="3" s="1"/>
  <c r="D102" i="4" s="1"/>
  <c r="D102" i="3"/>
  <c r="L102" i="3" s="1"/>
  <c r="G102" i="4" s="1"/>
  <c r="C102" i="3"/>
  <c r="B102" i="3"/>
  <c r="B102" i="4" s="1"/>
  <c r="B102" i="5" s="1"/>
  <c r="G101" i="3"/>
  <c r="F101" i="3"/>
  <c r="E101" i="3"/>
  <c r="I101" i="3" s="1"/>
  <c r="D101" i="4" s="1"/>
  <c r="D101" i="3"/>
  <c r="L101" i="3" s="1"/>
  <c r="G101" i="4" s="1"/>
  <c r="C101" i="3"/>
  <c r="B101" i="3"/>
  <c r="B101" i="4" s="1"/>
  <c r="B101" i="5" s="1"/>
  <c r="G100" i="3"/>
  <c r="F100" i="3"/>
  <c r="E100" i="3"/>
  <c r="I100" i="3" s="1"/>
  <c r="D100" i="4" s="1"/>
  <c r="D100" i="3"/>
  <c r="L100" i="3" s="1"/>
  <c r="G100" i="4" s="1"/>
  <c r="C100" i="3"/>
  <c r="B100" i="3"/>
  <c r="B100" i="4" s="1"/>
  <c r="B100" i="5" s="1"/>
  <c r="G99" i="3"/>
  <c r="F99" i="3"/>
  <c r="E99" i="3"/>
  <c r="I99" i="3" s="1"/>
  <c r="D99" i="4" s="1"/>
  <c r="D99" i="3"/>
  <c r="L99" i="3" s="1"/>
  <c r="G99" i="4" s="1"/>
  <c r="C99" i="3"/>
  <c r="B99" i="3"/>
  <c r="B99" i="4" s="1"/>
  <c r="B99" i="5" s="1"/>
  <c r="G98" i="3"/>
  <c r="F98" i="3"/>
  <c r="E98" i="3"/>
  <c r="I98" i="3" s="1"/>
  <c r="D98" i="4" s="1"/>
  <c r="D98" i="3"/>
  <c r="L98" i="3" s="1"/>
  <c r="G98" i="4" s="1"/>
  <c r="C98" i="3"/>
  <c r="B98" i="3"/>
  <c r="B98" i="4" s="1"/>
  <c r="B98" i="5" s="1"/>
  <c r="G97" i="3"/>
  <c r="F97" i="3"/>
  <c r="E97" i="3"/>
  <c r="I97" i="3" s="1"/>
  <c r="D97" i="4" s="1"/>
  <c r="D97" i="3"/>
  <c r="L97" i="3" s="1"/>
  <c r="G97" i="4" s="1"/>
  <c r="C97" i="3"/>
  <c r="B97" i="3"/>
  <c r="B97" i="4" s="1"/>
  <c r="B97" i="5" s="1"/>
  <c r="G96" i="3"/>
  <c r="F96" i="3"/>
  <c r="E96" i="3"/>
  <c r="I96" i="3" s="1"/>
  <c r="D96" i="4" s="1"/>
  <c r="D96" i="3"/>
  <c r="L96" i="3" s="1"/>
  <c r="G96" i="4" s="1"/>
  <c r="C96" i="3"/>
  <c r="B96" i="3"/>
  <c r="B96" i="4" s="1"/>
  <c r="B96" i="5" s="1"/>
  <c r="G95" i="3"/>
  <c r="F95" i="3"/>
  <c r="E95" i="3"/>
  <c r="I95" i="3" s="1"/>
  <c r="D95" i="4" s="1"/>
  <c r="D95" i="3"/>
  <c r="L95" i="3" s="1"/>
  <c r="G95" i="4" s="1"/>
  <c r="C95" i="3"/>
  <c r="B95" i="3"/>
  <c r="B95" i="4" s="1"/>
  <c r="B95" i="5" s="1"/>
  <c r="G94" i="3"/>
  <c r="F94" i="3"/>
  <c r="E94" i="3"/>
  <c r="I94" i="3" s="1"/>
  <c r="D94" i="4" s="1"/>
  <c r="D94" i="3"/>
  <c r="L94" i="3" s="1"/>
  <c r="G94" i="4" s="1"/>
  <c r="C94" i="3"/>
  <c r="B94" i="3"/>
  <c r="B94" i="4" s="1"/>
  <c r="B94" i="5" s="1"/>
  <c r="G93" i="3"/>
  <c r="F93" i="3"/>
  <c r="E93" i="3"/>
  <c r="I93" i="3" s="1"/>
  <c r="D93" i="4" s="1"/>
  <c r="D93" i="3"/>
  <c r="L93" i="3" s="1"/>
  <c r="G93" i="4" s="1"/>
  <c r="C93" i="3"/>
  <c r="B93" i="3"/>
  <c r="B93" i="4" s="1"/>
  <c r="B93" i="5" s="1"/>
  <c r="G92" i="3"/>
  <c r="F92" i="3"/>
  <c r="E92" i="3"/>
  <c r="I92" i="3" s="1"/>
  <c r="D92" i="4" s="1"/>
  <c r="D92" i="3"/>
  <c r="L92" i="3" s="1"/>
  <c r="G92" i="4" s="1"/>
  <c r="C92" i="3"/>
  <c r="B92" i="3"/>
  <c r="B92" i="4" s="1"/>
  <c r="B92" i="5" s="1"/>
  <c r="G91" i="3"/>
  <c r="F91" i="3"/>
  <c r="E91" i="3"/>
  <c r="I91" i="3" s="1"/>
  <c r="D91" i="4" s="1"/>
  <c r="D91" i="3"/>
  <c r="L91" i="3" s="1"/>
  <c r="G91" i="4" s="1"/>
  <c r="C91" i="3"/>
  <c r="B91" i="3"/>
  <c r="B91" i="4" s="1"/>
  <c r="B91" i="5" s="1"/>
  <c r="G90" i="3"/>
  <c r="F90" i="3"/>
  <c r="E90" i="3"/>
  <c r="I90" i="3" s="1"/>
  <c r="D90" i="4" s="1"/>
  <c r="D90" i="3"/>
  <c r="L90" i="3" s="1"/>
  <c r="G90" i="4" s="1"/>
  <c r="C90" i="3"/>
  <c r="B90" i="3"/>
  <c r="B90" i="4" s="1"/>
  <c r="B90" i="5" s="1"/>
  <c r="G89" i="3"/>
  <c r="F89" i="3"/>
  <c r="E89" i="3"/>
  <c r="I89" i="3" s="1"/>
  <c r="D89" i="4" s="1"/>
  <c r="D89" i="3"/>
  <c r="L89" i="3" s="1"/>
  <c r="G89" i="4" s="1"/>
  <c r="C89" i="3"/>
  <c r="B89" i="3"/>
  <c r="B89" i="4" s="1"/>
  <c r="B89" i="5" s="1"/>
  <c r="G88" i="3"/>
  <c r="F88" i="3"/>
  <c r="E88" i="3"/>
  <c r="I88" i="3" s="1"/>
  <c r="D88" i="4" s="1"/>
  <c r="D88" i="3"/>
  <c r="L88" i="3" s="1"/>
  <c r="G88" i="4" s="1"/>
  <c r="C88" i="3"/>
  <c r="B88" i="3"/>
  <c r="B88" i="4" s="1"/>
  <c r="B88" i="5" s="1"/>
  <c r="G87" i="3"/>
  <c r="F87" i="3"/>
  <c r="E87" i="3"/>
  <c r="I87" i="3" s="1"/>
  <c r="D87" i="4" s="1"/>
  <c r="D87" i="3"/>
  <c r="L87" i="3" s="1"/>
  <c r="G87" i="4" s="1"/>
  <c r="C87" i="3"/>
  <c r="B87" i="3"/>
  <c r="B87" i="4" s="1"/>
  <c r="B87" i="5" s="1"/>
  <c r="G86" i="3"/>
  <c r="F86" i="3"/>
  <c r="E86" i="3"/>
  <c r="I86" i="3" s="1"/>
  <c r="D86" i="4" s="1"/>
  <c r="D86" i="3"/>
  <c r="L86" i="3" s="1"/>
  <c r="G86" i="4" s="1"/>
  <c r="C86" i="3"/>
  <c r="B86" i="3"/>
  <c r="B86" i="4" s="1"/>
  <c r="B86" i="5" s="1"/>
  <c r="G85" i="3"/>
  <c r="F85" i="3"/>
  <c r="E85" i="3"/>
  <c r="I85" i="3" s="1"/>
  <c r="D85" i="4" s="1"/>
  <c r="D85" i="3"/>
  <c r="L85" i="3" s="1"/>
  <c r="G85" i="4" s="1"/>
  <c r="C85" i="3"/>
  <c r="B85" i="3"/>
  <c r="B85" i="4" s="1"/>
  <c r="B85" i="5" s="1"/>
  <c r="G84" i="3"/>
  <c r="F84" i="3"/>
  <c r="E84" i="3"/>
  <c r="I84" i="3" s="1"/>
  <c r="D84" i="4" s="1"/>
  <c r="D84" i="3"/>
  <c r="L84" i="3" s="1"/>
  <c r="G84" i="4" s="1"/>
  <c r="C84" i="3"/>
  <c r="B84" i="3"/>
  <c r="B84" i="4" s="1"/>
  <c r="B84" i="5" s="1"/>
  <c r="G83" i="3"/>
  <c r="F83" i="3"/>
  <c r="E83" i="3"/>
  <c r="I83" i="3" s="1"/>
  <c r="D83" i="4" s="1"/>
  <c r="D83" i="3"/>
  <c r="L83" i="3" s="1"/>
  <c r="G83" i="4" s="1"/>
  <c r="C83" i="3"/>
  <c r="B83" i="3"/>
  <c r="B83" i="4" s="1"/>
  <c r="B83" i="5" s="1"/>
  <c r="G82" i="3"/>
  <c r="F82" i="3"/>
  <c r="E82" i="3"/>
  <c r="I82" i="3" s="1"/>
  <c r="D82" i="4" s="1"/>
  <c r="D82" i="3"/>
  <c r="L82" i="3" s="1"/>
  <c r="G82" i="4" s="1"/>
  <c r="C82" i="3"/>
  <c r="B82" i="3"/>
  <c r="B82" i="4" s="1"/>
  <c r="B82" i="5" s="1"/>
  <c r="G81" i="3"/>
  <c r="F81" i="3"/>
  <c r="E81" i="3"/>
  <c r="I81" i="3" s="1"/>
  <c r="D81" i="4" s="1"/>
  <c r="D81" i="3"/>
  <c r="L81" i="3" s="1"/>
  <c r="G81" i="4" s="1"/>
  <c r="C81" i="3"/>
  <c r="B81" i="3"/>
  <c r="B81" i="4" s="1"/>
  <c r="B81" i="5" s="1"/>
  <c r="G80" i="3"/>
  <c r="F80" i="3"/>
  <c r="E80" i="3"/>
  <c r="I80" i="3" s="1"/>
  <c r="D80" i="4" s="1"/>
  <c r="D80" i="3"/>
  <c r="L80" i="3" s="1"/>
  <c r="G80" i="4" s="1"/>
  <c r="C80" i="3"/>
  <c r="B80" i="3"/>
  <c r="B80" i="4" s="1"/>
  <c r="B80" i="5" s="1"/>
  <c r="G79" i="3"/>
  <c r="F79" i="3"/>
  <c r="E79" i="3"/>
  <c r="I79" i="3" s="1"/>
  <c r="D79" i="4" s="1"/>
  <c r="D79" i="3"/>
  <c r="L79" i="3" s="1"/>
  <c r="G79" i="4" s="1"/>
  <c r="C79" i="3"/>
  <c r="B79" i="3"/>
  <c r="B79" i="4" s="1"/>
  <c r="B79" i="5" s="1"/>
  <c r="G78" i="3"/>
  <c r="F78" i="3"/>
  <c r="E78" i="3"/>
  <c r="I78" i="3" s="1"/>
  <c r="D78" i="4" s="1"/>
  <c r="D78" i="3"/>
  <c r="L78" i="3" s="1"/>
  <c r="G78" i="4" s="1"/>
  <c r="C78" i="3"/>
  <c r="B78" i="3"/>
  <c r="B78" i="4" s="1"/>
  <c r="B78" i="5" s="1"/>
  <c r="G77" i="3"/>
  <c r="F77" i="3"/>
  <c r="E77" i="3"/>
  <c r="I77" i="3" s="1"/>
  <c r="D77" i="4" s="1"/>
  <c r="D77" i="3"/>
  <c r="L77" i="3" s="1"/>
  <c r="G77" i="4" s="1"/>
  <c r="C77" i="3"/>
  <c r="B77" i="3"/>
  <c r="B77" i="4" s="1"/>
  <c r="B77" i="5" s="1"/>
  <c r="G76" i="3"/>
  <c r="F76" i="3"/>
  <c r="E76" i="3"/>
  <c r="I76" i="3" s="1"/>
  <c r="D76" i="4" s="1"/>
  <c r="D76" i="3"/>
  <c r="L76" i="3" s="1"/>
  <c r="G76" i="4" s="1"/>
  <c r="C76" i="3"/>
  <c r="B76" i="3"/>
  <c r="B76" i="4" s="1"/>
  <c r="B76" i="5" s="1"/>
  <c r="G75" i="3"/>
  <c r="F75" i="3"/>
  <c r="E75" i="3"/>
  <c r="I75" i="3" s="1"/>
  <c r="D75" i="4" s="1"/>
  <c r="D75" i="3"/>
  <c r="L75" i="3" s="1"/>
  <c r="G75" i="4" s="1"/>
  <c r="C75" i="3"/>
  <c r="B75" i="3"/>
  <c r="B75" i="4" s="1"/>
  <c r="B75" i="5" s="1"/>
  <c r="G74" i="3"/>
  <c r="F74" i="3"/>
  <c r="E74" i="3"/>
  <c r="I74" i="3" s="1"/>
  <c r="D74" i="4" s="1"/>
  <c r="D74" i="3"/>
  <c r="L74" i="3" s="1"/>
  <c r="G74" i="4" s="1"/>
  <c r="C74" i="3"/>
  <c r="B74" i="3"/>
  <c r="B74" i="4" s="1"/>
  <c r="B74" i="5" s="1"/>
  <c r="G73" i="3"/>
  <c r="F73" i="3"/>
  <c r="E73" i="3"/>
  <c r="I73" i="3" s="1"/>
  <c r="D73" i="4" s="1"/>
  <c r="D73" i="3"/>
  <c r="L73" i="3" s="1"/>
  <c r="G73" i="4" s="1"/>
  <c r="C73" i="3"/>
  <c r="B73" i="3"/>
  <c r="B73" i="4" s="1"/>
  <c r="B73" i="5" s="1"/>
  <c r="G72" i="3"/>
  <c r="F72" i="3"/>
  <c r="E72" i="3"/>
  <c r="I72" i="3" s="1"/>
  <c r="D72" i="4" s="1"/>
  <c r="D72" i="3"/>
  <c r="L72" i="3" s="1"/>
  <c r="G72" i="4" s="1"/>
  <c r="C72" i="3"/>
  <c r="B72" i="3"/>
  <c r="B72" i="4" s="1"/>
  <c r="B72" i="5" s="1"/>
  <c r="G71" i="3"/>
  <c r="F71" i="3"/>
  <c r="E71" i="3"/>
  <c r="I71" i="3" s="1"/>
  <c r="D71" i="4" s="1"/>
  <c r="D71" i="3"/>
  <c r="L71" i="3" s="1"/>
  <c r="G71" i="4" s="1"/>
  <c r="C71" i="3"/>
  <c r="B71" i="3"/>
  <c r="B71" i="4" s="1"/>
  <c r="B71" i="5" s="1"/>
  <c r="G70" i="3"/>
  <c r="F70" i="3"/>
  <c r="E70" i="3"/>
  <c r="I70" i="3" s="1"/>
  <c r="D70" i="4" s="1"/>
  <c r="D70" i="3"/>
  <c r="L70" i="3" s="1"/>
  <c r="G70" i="4" s="1"/>
  <c r="C70" i="3"/>
  <c r="B70" i="3"/>
  <c r="B70" i="4" s="1"/>
  <c r="B70" i="5" s="1"/>
  <c r="G69" i="3"/>
  <c r="F69" i="3"/>
  <c r="E69" i="3"/>
  <c r="I69" i="3" s="1"/>
  <c r="D69" i="4" s="1"/>
  <c r="D69" i="3"/>
  <c r="L69" i="3" s="1"/>
  <c r="G69" i="4" s="1"/>
  <c r="C69" i="3"/>
  <c r="B69" i="3"/>
  <c r="B69" i="4" s="1"/>
  <c r="B69" i="5" s="1"/>
  <c r="G68" i="3"/>
  <c r="F68" i="3"/>
  <c r="E68" i="3"/>
  <c r="I68" i="3" s="1"/>
  <c r="D68" i="4" s="1"/>
  <c r="D68" i="3"/>
  <c r="L68" i="3" s="1"/>
  <c r="G68" i="4" s="1"/>
  <c r="C68" i="3"/>
  <c r="B68" i="3"/>
  <c r="B68" i="4" s="1"/>
  <c r="B68" i="5" s="1"/>
  <c r="G67" i="3"/>
  <c r="F67" i="3"/>
  <c r="E67" i="3"/>
  <c r="I67" i="3" s="1"/>
  <c r="D67" i="4" s="1"/>
  <c r="D67" i="3"/>
  <c r="L67" i="3" s="1"/>
  <c r="G67" i="4" s="1"/>
  <c r="C67" i="3"/>
  <c r="B67" i="3"/>
  <c r="B67" i="4" s="1"/>
  <c r="B67" i="5" s="1"/>
  <c r="G66" i="3"/>
  <c r="F66" i="3"/>
  <c r="E66" i="3"/>
  <c r="I66" i="3" s="1"/>
  <c r="D66" i="4" s="1"/>
  <c r="D66" i="3"/>
  <c r="L66" i="3" s="1"/>
  <c r="G66" i="4" s="1"/>
  <c r="C66" i="3"/>
  <c r="B66" i="3"/>
  <c r="B66" i="4" s="1"/>
  <c r="B66" i="5" s="1"/>
  <c r="G65" i="3"/>
  <c r="F65" i="3"/>
  <c r="E65" i="3"/>
  <c r="I65" i="3" s="1"/>
  <c r="D65" i="4" s="1"/>
  <c r="D65" i="3"/>
  <c r="L65" i="3" s="1"/>
  <c r="G65" i="4" s="1"/>
  <c r="C65" i="3"/>
  <c r="B65" i="3"/>
  <c r="B65" i="4" s="1"/>
  <c r="B65" i="5" s="1"/>
  <c r="G64" i="3"/>
  <c r="F64" i="3"/>
  <c r="E64" i="3"/>
  <c r="I64" i="3" s="1"/>
  <c r="D64" i="4" s="1"/>
  <c r="D64" i="3"/>
  <c r="L64" i="3" s="1"/>
  <c r="G64" i="4" s="1"/>
  <c r="C64" i="3"/>
  <c r="B64" i="3"/>
  <c r="B64" i="4" s="1"/>
  <c r="B64" i="5" s="1"/>
  <c r="G63" i="3"/>
  <c r="F63" i="3"/>
  <c r="E63" i="3"/>
  <c r="I63" i="3" s="1"/>
  <c r="D63" i="4" s="1"/>
  <c r="D63" i="3"/>
  <c r="L63" i="3" s="1"/>
  <c r="G63" i="4" s="1"/>
  <c r="C63" i="3"/>
  <c r="B63" i="3"/>
  <c r="B63" i="4" s="1"/>
  <c r="B63" i="5" s="1"/>
  <c r="G62" i="3"/>
  <c r="F62" i="3"/>
  <c r="E62" i="3"/>
  <c r="I62" i="3" s="1"/>
  <c r="D62" i="4" s="1"/>
  <c r="D62" i="3"/>
  <c r="L62" i="3" s="1"/>
  <c r="G62" i="4" s="1"/>
  <c r="C62" i="3"/>
  <c r="B62" i="3"/>
  <c r="B62" i="4" s="1"/>
  <c r="B62" i="5" s="1"/>
  <c r="G61" i="3"/>
  <c r="F61" i="3"/>
  <c r="E61" i="3"/>
  <c r="I61" i="3" s="1"/>
  <c r="D61" i="4" s="1"/>
  <c r="D61" i="3"/>
  <c r="L61" i="3" s="1"/>
  <c r="G61" i="4" s="1"/>
  <c r="C61" i="3"/>
  <c r="B61" i="3"/>
  <c r="B61" i="4" s="1"/>
  <c r="B61" i="5" s="1"/>
  <c r="G60" i="3"/>
  <c r="F60" i="3"/>
  <c r="E60" i="3"/>
  <c r="I60" i="3" s="1"/>
  <c r="D60" i="4" s="1"/>
  <c r="D60" i="3"/>
  <c r="L60" i="3" s="1"/>
  <c r="G60" i="4" s="1"/>
  <c r="C60" i="3"/>
  <c r="B60" i="3"/>
  <c r="B60" i="4" s="1"/>
  <c r="B60" i="5" s="1"/>
  <c r="G59" i="3"/>
  <c r="F59" i="3"/>
  <c r="E59" i="3"/>
  <c r="I59" i="3" s="1"/>
  <c r="D59" i="4" s="1"/>
  <c r="D59" i="3"/>
  <c r="L59" i="3" s="1"/>
  <c r="G59" i="4" s="1"/>
  <c r="C59" i="3"/>
  <c r="B59" i="3"/>
  <c r="B59" i="4" s="1"/>
  <c r="B59" i="5" s="1"/>
  <c r="G58" i="3"/>
  <c r="F58" i="3"/>
  <c r="E58" i="3"/>
  <c r="I58" i="3" s="1"/>
  <c r="D58" i="4" s="1"/>
  <c r="D58" i="3"/>
  <c r="L58" i="3" s="1"/>
  <c r="G58" i="4" s="1"/>
  <c r="C58" i="3"/>
  <c r="B58" i="3"/>
  <c r="B58" i="4" s="1"/>
  <c r="B58" i="5" s="1"/>
  <c r="G57" i="3"/>
  <c r="F57" i="3"/>
  <c r="E57" i="3"/>
  <c r="I57" i="3" s="1"/>
  <c r="D57" i="4" s="1"/>
  <c r="D57" i="3"/>
  <c r="L57" i="3" s="1"/>
  <c r="G57" i="4" s="1"/>
  <c r="C57" i="3"/>
  <c r="B57" i="3"/>
  <c r="B57" i="4" s="1"/>
  <c r="B57" i="5" s="1"/>
  <c r="G56" i="3"/>
  <c r="F56" i="3"/>
  <c r="E56" i="3"/>
  <c r="I56" i="3" s="1"/>
  <c r="D56" i="4" s="1"/>
  <c r="D56" i="3"/>
  <c r="L56" i="3" s="1"/>
  <c r="G56" i="4" s="1"/>
  <c r="C56" i="3"/>
  <c r="B56" i="3"/>
  <c r="B56" i="4" s="1"/>
  <c r="B56" i="5" s="1"/>
  <c r="G55" i="3"/>
  <c r="F55" i="3"/>
  <c r="E55" i="3"/>
  <c r="I55" i="3" s="1"/>
  <c r="D55" i="4" s="1"/>
  <c r="D55" i="3"/>
  <c r="L55" i="3" s="1"/>
  <c r="G55" i="4" s="1"/>
  <c r="C55" i="3"/>
  <c r="B55" i="3"/>
  <c r="B55" i="4" s="1"/>
  <c r="B55" i="5" s="1"/>
  <c r="G54" i="3"/>
  <c r="F54" i="3"/>
  <c r="E54" i="3"/>
  <c r="I54" i="3" s="1"/>
  <c r="D54" i="4" s="1"/>
  <c r="D54" i="3"/>
  <c r="L54" i="3" s="1"/>
  <c r="G54" i="4" s="1"/>
  <c r="C54" i="3"/>
  <c r="B54" i="3"/>
  <c r="B54" i="4" s="1"/>
  <c r="B54" i="5" s="1"/>
  <c r="G53" i="3"/>
  <c r="F53" i="3"/>
  <c r="E53" i="3"/>
  <c r="I53" i="3" s="1"/>
  <c r="D53" i="4" s="1"/>
  <c r="D53" i="3"/>
  <c r="L53" i="3" s="1"/>
  <c r="G53" i="4" s="1"/>
  <c r="C53" i="3"/>
  <c r="B53" i="3"/>
  <c r="B53" i="4" s="1"/>
  <c r="B53" i="5" s="1"/>
  <c r="G52" i="3"/>
  <c r="F52" i="3"/>
  <c r="E52" i="3"/>
  <c r="I52" i="3" s="1"/>
  <c r="D52" i="4" s="1"/>
  <c r="D52" i="3"/>
  <c r="L52" i="3" s="1"/>
  <c r="G52" i="4" s="1"/>
  <c r="C52" i="3"/>
  <c r="B52" i="3"/>
  <c r="B52" i="4" s="1"/>
  <c r="B52" i="5" s="1"/>
  <c r="G51" i="3"/>
  <c r="F51" i="3"/>
  <c r="E51" i="3"/>
  <c r="I51" i="3" s="1"/>
  <c r="D51" i="4" s="1"/>
  <c r="D51" i="3"/>
  <c r="L51" i="3" s="1"/>
  <c r="G51" i="4" s="1"/>
  <c r="C51" i="3"/>
  <c r="B51" i="3"/>
  <c r="B51" i="4" s="1"/>
  <c r="B51" i="5" s="1"/>
  <c r="G50" i="3"/>
  <c r="F50" i="3"/>
  <c r="E50" i="3"/>
  <c r="I50" i="3" s="1"/>
  <c r="D50" i="4" s="1"/>
  <c r="D50" i="3"/>
  <c r="L50" i="3" s="1"/>
  <c r="G50" i="4" s="1"/>
  <c r="C50" i="3"/>
  <c r="B50" i="3"/>
  <c r="B50" i="4" s="1"/>
  <c r="B50" i="5" s="1"/>
  <c r="G49" i="3"/>
  <c r="F49" i="3"/>
  <c r="E49" i="3"/>
  <c r="I49" i="3" s="1"/>
  <c r="D49" i="4" s="1"/>
  <c r="D49" i="3"/>
  <c r="L49" i="3" s="1"/>
  <c r="G49" i="4" s="1"/>
  <c r="C49" i="3"/>
  <c r="B49" i="3"/>
  <c r="B49" i="4" s="1"/>
  <c r="B49" i="5" s="1"/>
  <c r="G48" i="3"/>
  <c r="F48" i="3"/>
  <c r="E48" i="3"/>
  <c r="I48" i="3" s="1"/>
  <c r="D48" i="4" s="1"/>
  <c r="D48" i="3"/>
  <c r="L48" i="3" s="1"/>
  <c r="G48" i="4" s="1"/>
  <c r="C48" i="3"/>
  <c r="B48" i="3"/>
  <c r="B48" i="4" s="1"/>
  <c r="B48" i="5" s="1"/>
  <c r="G47" i="3"/>
  <c r="F47" i="3"/>
  <c r="E47" i="3"/>
  <c r="I47" i="3" s="1"/>
  <c r="D47" i="4" s="1"/>
  <c r="D47" i="3"/>
  <c r="L47" i="3" s="1"/>
  <c r="G47" i="4" s="1"/>
  <c r="C47" i="3"/>
  <c r="B47" i="3"/>
  <c r="B47" i="4" s="1"/>
  <c r="B47" i="5" s="1"/>
  <c r="G46" i="3"/>
  <c r="F46" i="3"/>
  <c r="E46" i="3"/>
  <c r="I46" i="3" s="1"/>
  <c r="D46" i="4" s="1"/>
  <c r="D46" i="3"/>
  <c r="L46" i="3" s="1"/>
  <c r="G46" i="4" s="1"/>
  <c r="C46" i="3"/>
  <c r="B46" i="3"/>
  <c r="B46" i="4" s="1"/>
  <c r="B46" i="5" s="1"/>
  <c r="G45" i="3"/>
  <c r="F45" i="3"/>
  <c r="E45" i="3"/>
  <c r="I45" i="3" s="1"/>
  <c r="D45" i="4" s="1"/>
  <c r="D45" i="3"/>
  <c r="L45" i="3" s="1"/>
  <c r="G45" i="4" s="1"/>
  <c r="C45" i="3"/>
  <c r="B45" i="3"/>
  <c r="B45" i="4" s="1"/>
  <c r="B45" i="5" s="1"/>
  <c r="G44" i="3"/>
  <c r="F44" i="3"/>
  <c r="E44" i="3"/>
  <c r="I44" i="3" s="1"/>
  <c r="D44" i="4" s="1"/>
  <c r="D44" i="3"/>
  <c r="L44" i="3" s="1"/>
  <c r="G44" i="4" s="1"/>
  <c r="C44" i="3"/>
  <c r="B44" i="3"/>
  <c r="B44" i="4" s="1"/>
  <c r="B44" i="5" s="1"/>
  <c r="G43" i="3"/>
  <c r="F43" i="3"/>
  <c r="E43" i="3"/>
  <c r="I43" i="3" s="1"/>
  <c r="D43" i="4" s="1"/>
  <c r="D43" i="3"/>
  <c r="L43" i="3" s="1"/>
  <c r="G43" i="4" s="1"/>
  <c r="C43" i="3"/>
  <c r="B43" i="3"/>
  <c r="B43" i="4" s="1"/>
  <c r="B43" i="5" s="1"/>
  <c r="G42" i="3"/>
  <c r="F42" i="3"/>
  <c r="E42" i="3"/>
  <c r="I42" i="3" s="1"/>
  <c r="D42" i="4" s="1"/>
  <c r="D42" i="3"/>
  <c r="L42" i="3" s="1"/>
  <c r="G42" i="4" s="1"/>
  <c r="C42" i="3"/>
  <c r="B42" i="3"/>
  <c r="B42" i="4" s="1"/>
  <c r="B42" i="5" s="1"/>
  <c r="G41" i="3"/>
  <c r="F41" i="3"/>
  <c r="E41" i="3"/>
  <c r="I41" i="3" s="1"/>
  <c r="D41" i="4" s="1"/>
  <c r="D41" i="3"/>
  <c r="L41" i="3" s="1"/>
  <c r="G41" i="4" s="1"/>
  <c r="C41" i="3"/>
  <c r="B41" i="3"/>
  <c r="B41" i="4" s="1"/>
  <c r="B41" i="5" s="1"/>
  <c r="G40" i="3"/>
  <c r="F40" i="3"/>
  <c r="E40" i="3"/>
  <c r="I40" i="3" s="1"/>
  <c r="D40" i="4" s="1"/>
  <c r="D40" i="3"/>
  <c r="L40" i="3" s="1"/>
  <c r="G40" i="4" s="1"/>
  <c r="C40" i="3"/>
  <c r="B40" i="3"/>
  <c r="B40" i="4" s="1"/>
  <c r="B40" i="5" s="1"/>
  <c r="G39" i="3"/>
  <c r="F39" i="3"/>
  <c r="E39" i="3"/>
  <c r="I39" i="3" s="1"/>
  <c r="D39" i="4" s="1"/>
  <c r="D39" i="3"/>
  <c r="L39" i="3" s="1"/>
  <c r="G39" i="4" s="1"/>
  <c r="C39" i="3"/>
  <c r="B39" i="3"/>
  <c r="B39" i="4" s="1"/>
  <c r="B39" i="5" s="1"/>
  <c r="G38" i="3"/>
  <c r="F38" i="3"/>
  <c r="E38" i="3"/>
  <c r="I38" i="3" s="1"/>
  <c r="D38" i="4" s="1"/>
  <c r="D38" i="3"/>
  <c r="L38" i="3" s="1"/>
  <c r="G38" i="4" s="1"/>
  <c r="C38" i="3"/>
  <c r="B38" i="3"/>
  <c r="B38" i="4" s="1"/>
  <c r="B38" i="5" s="1"/>
  <c r="G37" i="3"/>
  <c r="F37" i="3"/>
  <c r="E37" i="3"/>
  <c r="I37" i="3" s="1"/>
  <c r="D37" i="4" s="1"/>
  <c r="D37" i="3"/>
  <c r="L37" i="3" s="1"/>
  <c r="G37" i="4" s="1"/>
  <c r="C37" i="3"/>
  <c r="B37" i="3"/>
  <c r="B37" i="4" s="1"/>
  <c r="B37" i="5" s="1"/>
  <c r="G36" i="3"/>
  <c r="F36" i="3"/>
  <c r="E36" i="3"/>
  <c r="I36" i="3" s="1"/>
  <c r="D36" i="4" s="1"/>
  <c r="D36" i="3"/>
  <c r="L36" i="3" s="1"/>
  <c r="G36" i="4" s="1"/>
  <c r="C36" i="3"/>
  <c r="B36" i="3"/>
  <c r="B36" i="4" s="1"/>
  <c r="B36" i="5" s="1"/>
  <c r="G35" i="3"/>
  <c r="F35" i="3"/>
  <c r="E35" i="3"/>
  <c r="I35" i="3" s="1"/>
  <c r="D35" i="4" s="1"/>
  <c r="D35" i="3"/>
  <c r="L35" i="3" s="1"/>
  <c r="G35" i="4" s="1"/>
  <c r="C35" i="3"/>
  <c r="B35" i="3"/>
  <c r="B35" i="4" s="1"/>
  <c r="B35" i="5" s="1"/>
  <c r="G34" i="3"/>
  <c r="F34" i="3"/>
  <c r="E34" i="3"/>
  <c r="I34" i="3" s="1"/>
  <c r="D34" i="4" s="1"/>
  <c r="D34" i="3"/>
  <c r="L34" i="3" s="1"/>
  <c r="G34" i="4" s="1"/>
  <c r="C34" i="3"/>
  <c r="B34" i="3"/>
  <c r="B34" i="4" s="1"/>
  <c r="B34" i="5" s="1"/>
  <c r="G33" i="3"/>
  <c r="F33" i="3"/>
  <c r="E33" i="3"/>
  <c r="I33" i="3" s="1"/>
  <c r="D33" i="4" s="1"/>
  <c r="D33" i="3"/>
  <c r="L33" i="3" s="1"/>
  <c r="G33" i="4" s="1"/>
  <c r="C33" i="3"/>
  <c r="B33" i="3"/>
  <c r="B33" i="4" s="1"/>
  <c r="B33" i="5" s="1"/>
  <c r="G32" i="3"/>
  <c r="F32" i="3"/>
  <c r="E32" i="3"/>
  <c r="I32" i="3" s="1"/>
  <c r="D32" i="4" s="1"/>
  <c r="D32" i="3"/>
  <c r="L32" i="3" s="1"/>
  <c r="G32" i="4" s="1"/>
  <c r="C32" i="3"/>
  <c r="B32" i="3"/>
  <c r="B32" i="4" s="1"/>
  <c r="B32" i="5" s="1"/>
  <c r="G31" i="3"/>
  <c r="F31" i="3"/>
  <c r="E31" i="3"/>
  <c r="I31" i="3" s="1"/>
  <c r="D31" i="4" s="1"/>
  <c r="D31" i="3"/>
  <c r="L31" i="3" s="1"/>
  <c r="G31" i="4" s="1"/>
  <c r="C31" i="3"/>
  <c r="B31" i="3"/>
  <c r="B31" i="4" s="1"/>
  <c r="B31" i="5" s="1"/>
  <c r="G30" i="3"/>
  <c r="F30" i="3"/>
  <c r="E30" i="3"/>
  <c r="I30" i="3" s="1"/>
  <c r="D30" i="4" s="1"/>
  <c r="D30" i="3"/>
  <c r="L30" i="3" s="1"/>
  <c r="G30" i="4" s="1"/>
  <c r="C30" i="3"/>
  <c r="B30" i="3"/>
  <c r="B30" i="4" s="1"/>
  <c r="B30" i="5" s="1"/>
  <c r="G29" i="3"/>
  <c r="F29" i="3"/>
  <c r="E29" i="3"/>
  <c r="I29" i="3" s="1"/>
  <c r="D29" i="4" s="1"/>
  <c r="D29" i="3"/>
  <c r="L29" i="3" s="1"/>
  <c r="G29" i="4" s="1"/>
  <c r="C29" i="3"/>
  <c r="B29" i="3"/>
  <c r="B29" i="4" s="1"/>
  <c r="B29" i="5" s="1"/>
  <c r="G28" i="3"/>
  <c r="F28" i="3"/>
  <c r="E28" i="3"/>
  <c r="I28" i="3" s="1"/>
  <c r="D28" i="4" s="1"/>
  <c r="D28" i="3"/>
  <c r="L28" i="3" s="1"/>
  <c r="G28" i="4" s="1"/>
  <c r="C28" i="3"/>
  <c r="B28" i="3"/>
  <c r="B28" i="4" s="1"/>
  <c r="B28" i="5" s="1"/>
  <c r="G27" i="3"/>
  <c r="F27" i="3"/>
  <c r="E27" i="3"/>
  <c r="I27" i="3" s="1"/>
  <c r="D27" i="4" s="1"/>
  <c r="D27" i="3"/>
  <c r="L27" i="3" s="1"/>
  <c r="G27" i="4" s="1"/>
  <c r="C27" i="3"/>
  <c r="B27" i="3"/>
  <c r="B27" i="4" s="1"/>
  <c r="B27" i="5" s="1"/>
  <c r="G26" i="3"/>
  <c r="F26" i="3"/>
  <c r="E26" i="3"/>
  <c r="I26" i="3" s="1"/>
  <c r="D26" i="4" s="1"/>
  <c r="D26" i="3"/>
  <c r="L26" i="3" s="1"/>
  <c r="G26" i="4" s="1"/>
  <c r="C26" i="3"/>
  <c r="B26" i="3"/>
  <c r="B26" i="4" s="1"/>
  <c r="B26" i="5" s="1"/>
  <c r="G25" i="3"/>
  <c r="F25" i="3"/>
  <c r="E25" i="3"/>
  <c r="I25" i="3" s="1"/>
  <c r="D25" i="4" s="1"/>
  <c r="D25" i="3"/>
  <c r="L25" i="3" s="1"/>
  <c r="G25" i="4" s="1"/>
  <c r="C25" i="3"/>
  <c r="B25" i="3"/>
  <c r="B25" i="4" s="1"/>
  <c r="B25" i="5" s="1"/>
  <c r="G24" i="3"/>
  <c r="F24" i="3"/>
  <c r="E24" i="3"/>
  <c r="I24" i="3" s="1"/>
  <c r="D24" i="4" s="1"/>
  <c r="D24" i="3"/>
  <c r="L24" i="3" s="1"/>
  <c r="G24" i="4" s="1"/>
  <c r="C24" i="3"/>
  <c r="B24" i="3"/>
  <c r="B24" i="4" s="1"/>
  <c r="B24" i="5" s="1"/>
  <c r="G23" i="3"/>
  <c r="F23" i="3"/>
  <c r="E23" i="3"/>
  <c r="I23" i="3" s="1"/>
  <c r="D23" i="4" s="1"/>
  <c r="D23" i="3"/>
  <c r="L23" i="3" s="1"/>
  <c r="G23" i="4" s="1"/>
  <c r="C23" i="3"/>
  <c r="B23" i="3"/>
  <c r="B23" i="4" s="1"/>
  <c r="B23" i="5" s="1"/>
  <c r="G22" i="3"/>
  <c r="F22" i="3"/>
  <c r="E22" i="3"/>
  <c r="I22" i="3" s="1"/>
  <c r="D22" i="4" s="1"/>
  <c r="D22" i="3"/>
  <c r="L22" i="3" s="1"/>
  <c r="G22" i="4" s="1"/>
  <c r="C22" i="3"/>
  <c r="B22" i="3"/>
  <c r="B22" i="4" s="1"/>
  <c r="B22" i="5" s="1"/>
  <c r="G21" i="3"/>
  <c r="F21" i="3"/>
  <c r="E21" i="3"/>
  <c r="I21" i="3" s="1"/>
  <c r="D21" i="4" s="1"/>
  <c r="D21" i="3"/>
  <c r="L21" i="3" s="1"/>
  <c r="G21" i="4" s="1"/>
  <c r="C21" i="3"/>
  <c r="B21" i="3"/>
  <c r="B21" i="4" s="1"/>
  <c r="B21" i="5" s="1"/>
  <c r="G20" i="3"/>
  <c r="F20" i="3"/>
  <c r="E20" i="3"/>
  <c r="I20" i="3" s="1"/>
  <c r="D20" i="4" s="1"/>
  <c r="D20" i="3"/>
  <c r="L20" i="3" s="1"/>
  <c r="G20" i="4" s="1"/>
  <c r="C20" i="3"/>
  <c r="B20" i="3"/>
  <c r="B20" i="4" s="1"/>
  <c r="B20" i="5" s="1"/>
  <c r="G19" i="3"/>
  <c r="F19" i="3"/>
  <c r="E19" i="3"/>
  <c r="I19" i="3" s="1"/>
  <c r="D19" i="4" s="1"/>
  <c r="D19" i="3"/>
  <c r="L19" i="3" s="1"/>
  <c r="G19" i="4" s="1"/>
  <c r="C19" i="3"/>
  <c r="B19" i="3"/>
  <c r="B19" i="4" s="1"/>
  <c r="B19" i="5" s="1"/>
  <c r="G18" i="3"/>
  <c r="F18" i="3"/>
  <c r="E18" i="3"/>
  <c r="I18" i="3" s="1"/>
  <c r="D18" i="4" s="1"/>
  <c r="D18" i="3"/>
  <c r="L18" i="3" s="1"/>
  <c r="G18" i="4" s="1"/>
  <c r="C18" i="3"/>
  <c r="B18" i="3"/>
  <c r="B18" i="4" s="1"/>
  <c r="B18" i="5" s="1"/>
  <c r="G17" i="3"/>
  <c r="F17" i="3"/>
  <c r="E17" i="3"/>
  <c r="I17" i="3" s="1"/>
  <c r="D17" i="4" s="1"/>
  <c r="D17" i="3"/>
  <c r="L17" i="3" s="1"/>
  <c r="G17" i="4" s="1"/>
  <c r="C17" i="3"/>
  <c r="B17" i="3"/>
  <c r="B17" i="4" s="1"/>
  <c r="B17" i="5" s="1"/>
  <c r="G16" i="3"/>
  <c r="F16" i="3"/>
  <c r="E16" i="3"/>
  <c r="I16" i="3" s="1"/>
  <c r="D16" i="4" s="1"/>
  <c r="D16" i="3"/>
  <c r="L16" i="3" s="1"/>
  <c r="G16" i="4" s="1"/>
  <c r="C16" i="3"/>
  <c r="B16" i="3"/>
  <c r="B16" i="4" s="1"/>
  <c r="B16" i="5" s="1"/>
  <c r="G15" i="3"/>
  <c r="F15" i="3"/>
  <c r="E15" i="3"/>
  <c r="I15" i="3" s="1"/>
  <c r="D15" i="4" s="1"/>
  <c r="D15" i="3"/>
  <c r="L15" i="3" s="1"/>
  <c r="G15" i="4" s="1"/>
  <c r="C15" i="3"/>
  <c r="B15" i="3"/>
  <c r="B15" i="4" s="1"/>
  <c r="B15" i="5" s="1"/>
  <c r="G14" i="3"/>
  <c r="F14" i="3"/>
  <c r="E14" i="3"/>
  <c r="I14" i="3" s="1"/>
  <c r="D14" i="4" s="1"/>
  <c r="D14" i="3"/>
  <c r="L14" i="3" s="1"/>
  <c r="G14" i="4" s="1"/>
  <c r="C14" i="3"/>
  <c r="B14" i="3"/>
  <c r="B14" i="4" s="1"/>
  <c r="B14" i="5" s="1"/>
  <c r="G13" i="3"/>
  <c r="F13" i="3"/>
  <c r="E13" i="3"/>
  <c r="I13" i="3" s="1"/>
  <c r="D13" i="4" s="1"/>
  <c r="D13" i="3"/>
  <c r="L13" i="3" s="1"/>
  <c r="G13" i="4" s="1"/>
  <c r="C13" i="3"/>
  <c r="B13" i="3"/>
  <c r="B13" i="4" s="1"/>
  <c r="B13" i="5" s="1"/>
  <c r="G12" i="3"/>
  <c r="F12" i="3"/>
  <c r="E12" i="3"/>
  <c r="I12" i="3" s="1"/>
  <c r="D12" i="4" s="1"/>
  <c r="D12" i="3"/>
  <c r="L12" i="3" s="1"/>
  <c r="G12" i="4" s="1"/>
  <c r="C12" i="3"/>
  <c r="B12" i="3"/>
  <c r="B12" i="4" s="1"/>
  <c r="B12" i="5" s="1"/>
  <c r="G11" i="3"/>
  <c r="F11" i="3"/>
  <c r="E11" i="3"/>
  <c r="I11" i="3" s="1"/>
  <c r="D11" i="4" s="1"/>
  <c r="D11" i="3"/>
  <c r="L11" i="3" s="1"/>
  <c r="G11" i="4" s="1"/>
  <c r="C11" i="3"/>
  <c r="B11" i="3"/>
  <c r="B11" i="4" s="1"/>
  <c r="B11" i="5" s="1"/>
  <c r="G10" i="3"/>
  <c r="F10" i="3"/>
  <c r="E10" i="3"/>
  <c r="I10" i="3" s="1"/>
  <c r="D10" i="4" s="1"/>
  <c r="D10" i="3"/>
  <c r="L10" i="3" s="1"/>
  <c r="G10" i="4" s="1"/>
  <c r="C10" i="3"/>
  <c r="B10" i="3"/>
  <c r="B10" i="4" s="1"/>
  <c r="B10" i="5" s="1"/>
  <c r="G9" i="3"/>
  <c r="F9" i="3"/>
  <c r="E9" i="3"/>
  <c r="I9" i="3" s="1"/>
  <c r="D9" i="4" s="1"/>
  <c r="D9" i="3"/>
  <c r="L9" i="3" s="1"/>
  <c r="G9" i="4" s="1"/>
  <c r="C9" i="3"/>
  <c r="B9" i="3"/>
  <c r="B9" i="4" s="1"/>
  <c r="B9" i="5" s="1"/>
  <c r="G8" i="3"/>
  <c r="F8" i="3"/>
  <c r="E8" i="3"/>
  <c r="I8" i="3" s="1"/>
  <c r="D8" i="4" s="1"/>
  <c r="D8" i="3"/>
  <c r="L8" i="3" s="1"/>
  <c r="G8" i="4" s="1"/>
  <c r="C8" i="3"/>
  <c r="B8" i="3"/>
  <c r="B8" i="4" s="1"/>
  <c r="B8" i="5" s="1"/>
  <c r="G7" i="3"/>
  <c r="F7" i="3"/>
  <c r="E7" i="3"/>
  <c r="I7" i="3" s="1"/>
  <c r="D7" i="4" s="1"/>
  <c r="D7" i="3"/>
  <c r="L7" i="3" s="1"/>
  <c r="G7" i="4" s="1"/>
  <c r="C7" i="3"/>
  <c r="B7" i="3"/>
  <c r="B7" i="4" s="1"/>
  <c r="B7" i="5" s="1"/>
  <c r="G6" i="3"/>
  <c r="F6" i="3"/>
  <c r="E6" i="3"/>
  <c r="I6" i="3" s="1"/>
  <c r="D6" i="4" s="1"/>
  <c r="D6" i="3"/>
  <c r="L6" i="3" s="1"/>
  <c r="G6" i="4" s="1"/>
  <c r="C6" i="3"/>
  <c r="B6" i="3"/>
  <c r="B6" i="4" s="1"/>
  <c r="B6" i="5" s="1"/>
  <c r="G5" i="3"/>
  <c r="F5" i="3"/>
  <c r="E5" i="3"/>
  <c r="I5" i="3" s="1"/>
  <c r="D5" i="4" s="1"/>
  <c r="D5" i="3"/>
  <c r="L5" i="3" s="1"/>
  <c r="G5" i="4" s="1"/>
  <c r="C5" i="3"/>
  <c r="B5" i="3"/>
  <c r="B5" i="4" s="1"/>
  <c r="B5" i="5" s="1"/>
  <c r="G4" i="3"/>
  <c r="F4" i="3"/>
  <c r="E4" i="3"/>
  <c r="I4" i="3" s="1"/>
  <c r="D4" i="4" s="1"/>
  <c r="D4" i="3"/>
  <c r="L4" i="3" s="1"/>
  <c r="G4" i="4" s="1"/>
  <c r="C4" i="3"/>
  <c r="B4" i="3"/>
  <c r="B4" i="4" s="1"/>
  <c r="B4" i="5" s="1"/>
  <c r="G3" i="3"/>
  <c r="F3" i="3"/>
  <c r="E3" i="3"/>
  <c r="I3" i="3" s="1"/>
  <c r="D3" i="4" s="1"/>
  <c r="D3" i="3"/>
  <c r="L3" i="3" s="1"/>
  <c r="G3" i="4" s="1"/>
  <c r="C3" i="3"/>
  <c r="B3" i="3"/>
  <c r="B3" i="4" s="1"/>
  <c r="B3" i="5" s="1"/>
  <c r="D10" i="1"/>
  <c r="E10" i="1" s="1"/>
  <c r="D9" i="1"/>
  <c r="E9" i="1" s="1"/>
  <c r="D8" i="1"/>
  <c r="E8" i="1" s="1"/>
  <c r="D7" i="1"/>
  <c r="E7" i="1" s="1"/>
  <c r="D6" i="1"/>
  <c r="E6" i="1" s="1"/>
  <c r="K122" i="3" l="1"/>
  <c r="F122" i="4" s="1"/>
  <c r="K246" i="3"/>
  <c r="F246" i="4" s="1"/>
  <c r="K123" i="3"/>
  <c r="F123" i="4" s="1"/>
  <c r="K124" i="3"/>
  <c r="F124" i="4" s="1"/>
  <c r="K245" i="3"/>
  <c r="F245" i="4" s="1"/>
  <c r="K125" i="3"/>
  <c r="F125" i="4" s="1"/>
  <c r="K126" i="3"/>
  <c r="F126" i="4" s="1"/>
  <c r="K244" i="3"/>
  <c r="F244" i="4" s="1"/>
  <c r="K129" i="3"/>
  <c r="F129" i="4" s="1"/>
  <c r="K41" i="3"/>
  <c r="F41" i="4" s="1"/>
  <c r="K243" i="3"/>
  <c r="F243" i="4" s="1"/>
  <c r="K292" i="3"/>
  <c r="F292" i="4" s="1"/>
  <c r="K48" i="3"/>
  <c r="F48" i="4" s="1"/>
  <c r="K242" i="3"/>
  <c r="F242" i="4" s="1"/>
  <c r="K274" i="3"/>
  <c r="F274" i="4" s="1"/>
  <c r="K287" i="3"/>
  <c r="F287" i="4" s="1"/>
  <c r="K241" i="3"/>
  <c r="F241" i="4" s="1"/>
  <c r="K293" i="3"/>
  <c r="F293" i="4" s="1"/>
  <c r="K283" i="3"/>
  <c r="F283" i="4" s="1"/>
  <c r="K240" i="3"/>
  <c r="F240" i="4" s="1"/>
  <c r="K65" i="3"/>
  <c r="F65" i="4" s="1"/>
  <c r="K70" i="3"/>
  <c r="F70" i="4" s="1"/>
  <c r="K239" i="3"/>
  <c r="F239" i="4" s="1"/>
  <c r="K71" i="3"/>
  <c r="F71" i="4" s="1"/>
  <c r="K294" i="3"/>
  <c r="F294" i="4" s="1"/>
  <c r="K238" i="3"/>
  <c r="F238" i="4" s="1"/>
  <c r="K77" i="3"/>
  <c r="F77" i="4" s="1"/>
  <c r="K79" i="3"/>
  <c r="F79" i="4" s="1"/>
  <c r="K237" i="3"/>
  <c r="F237" i="4" s="1"/>
  <c r="K84" i="3"/>
  <c r="F84" i="4" s="1"/>
  <c r="K236" i="3"/>
  <c r="F236" i="4" s="1"/>
  <c r="K273" i="3"/>
  <c r="F273" i="4" s="1"/>
  <c r="K89" i="3"/>
  <c r="F89" i="4" s="1"/>
  <c r="K235" i="3"/>
  <c r="F235" i="4" s="1"/>
  <c r="K310" i="3"/>
  <c r="F310" i="4" s="1"/>
  <c r="K311" i="3"/>
  <c r="F311" i="4" s="1"/>
  <c r="K234" i="3"/>
  <c r="F234" i="4" s="1"/>
  <c r="K314" i="3"/>
  <c r="F314" i="4" s="1"/>
  <c r="K319" i="3"/>
  <c r="F319" i="4" s="1"/>
  <c r="K233" i="3"/>
  <c r="F233" i="4" s="1"/>
  <c r="K272" i="3"/>
  <c r="F272" i="4" s="1"/>
  <c r="K285" i="3"/>
  <c r="F285" i="4" s="1"/>
  <c r="K232" i="3"/>
  <c r="F232" i="4" s="1"/>
  <c r="K328" i="3"/>
  <c r="F328" i="4" s="1"/>
  <c r="K295" i="3"/>
  <c r="F295" i="4" s="1"/>
  <c r="K231" i="3"/>
  <c r="F231" i="4" s="1"/>
  <c r="K271" i="3"/>
  <c r="F271" i="4" s="1"/>
  <c r="K334" i="3"/>
  <c r="F334" i="4" s="1"/>
  <c r="K230" i="3"/>
  <c r="F230" i="4" s="1"/>
  <c r="K336" i="3"/>
  <c r="F336" i="4" s="1"/>
  <c r="K338" i="3"/>
  <c r="F338" i="4" s="1"/>
  <c r="K229" i="3"/>
  <c r="F229" i="4" s="1"/>
  <c r="K340" i="3"/>
  <c r="F340" i="4" s="1"/>
  <c r="K228" i="3"/>
  <c r="F228" i="4" s="1"/>
  <c r="K250" i="3"/>
  <c r="F250" i="4" s="1"/>
  <c r="K227" i="3"/>
  <c r="F227" i="4" s="1"/>
  <c r="K306" i="3"/>
  <c r="F306" i="4" s="1"/>
  <c r="K251" i="3"/>
  <c r="F251" i="4" s="1"/>
  <c r="K226" i="3"/>
  <c r="F226" i="4" s="1"/>
  <c r="K296" i="3"/>
  <c r="F296" i="4" s="1"/>
  <c r="K347" i="3"/>
  <c r="F347" i="4" s="1"/>
  <c r="K225" i="3"/>
  <c r="F225" i="4" s="1"/>
  <c r="K368" i="3"/>
  <c r="F368" i="4" s="1"/>
  <c r="K279" i="3"/>
  <c r="F279" i="4" s="1"/>
  <c r="K224" i="3"/>
  <c r="F224" i="4" s="1"/>
  <c r="K350" i="3"/>
  <c r="F350" i="4" s="1"/>
  <c r="K357" i="3"/>
  <c r="F357" i="4" s="1"/>
  <c r="K223" i="3"/>
  <c r="F223" i="4" s="1"/>
  <c r="K67" i="3"/>
  <c r="F67" i="4" s="1"/>
  <c r="K220" i="3"/>
  <c r="F220" i="4" s="1"/>
  <c r="K9" i="3"/>
  <c r="F9" i="4" s="1"/>
  <c r="K219" i="3"/>
  <c r="F219" i="4" s="1"/>
  <c r="K218" i="3"/>
  <c r="F218" i="4" s="1"/>
  <c r="K270" i="3"/>
  <c r="F270" i="4" s="1"/>
  <c r="K282" i="3"/>
  <c r="F282" i="4" s="1"/>
  <c r="K217" i="3"/>
  <c r="F217" i="4" s="1"/>
  <c r="K24" i="3"/>
  <c r="F24" i="4" s="1"/>
  <c r="K252" i="3"/>
  <c r="F252" i="4" s="1"/>
  <c r="K216" i="3"/>
  <c r="F216" i="4" s="1"/>
  <c r="K286" i="3"/>
  <c r="F286" i="4" s="1"/>
  <c r="K297" i="3"/>
  <c r="F297" i="4" s="1"/>
  <c r="K215" i="3"/>
  <c r="F215" i="4" s="1"/>
  <c r="K249" i="3"/>
  <c r="F249" i="4" s="1"/>
  <c r="K213" i="3"/>
  <c r="F213" i="4" s="1"/>
  <c r="K14" i="3"/>
  <c r="F14" i="4" s="1"/>
  <c r="K141" i="3"/>
  <c r="F141" i="4" s="1"/>
  <c r="K360" i="3"/>
  <c r="F360" i="4" s="1"/>
  <c r="K211" i="3"/>
  <c r="F211" i="4" s="1"/>
  <c r="K358" i="3"/>
  <c r="F358" i="4" s="1"/>
  <c r="K269" i="3"/>
  <c r="F269" i="4" s="1"/>
  <c r="K208" i="3"/>
  <c r="F208" i="4" s="1"/>
  <c r="K305" i="3"/>
  <c r="F305" i="4" s="1"/>
  <c r="K253" i="3"/>
  <c r="F253" i="4" s="1"/>
  <c r="K207" i="3"/>
  <c r="F207" i="4" s="1"/>
  <c r="K36" i="3"/>
  <c r="F36" i="4" s="1"/>
  <c r="K348" i="3"/>
  <c r="F348" i="4" s="1"/>
  <c r="K206" i="3"/>
  <c r="F206" i="4" s="1"/>
  <c r="K342" i="3"/>
  <c r="F342" i="4" s="1"/>
  <c r="K268" i="3"/>
  <c r="F268" i="4" s="1"/>
  <c r="K205" i="3"/>
  <c r="F205" i="4" s="1"/>
  <c r="K42" i="3"/>
  <c r="F42" i="4" s="1"/>
  <c r="K51" i="3"/>
  <c r="F51" i="4" s="1"/>
  <c r="K204" i="3"/>
  <c r="F204" i="4" s="1"/>
  <c r="K222" i="3"/>
  <c r="F222" i="4" s="1"/>
  <c r="K53" i="3"/>
  <c r="F53" i="4" s="1"/>
  <c r="K203" i="3"/>
  <c r="F203" i="4" s="1"/>
  <c r="K58" i="3"/>
  <c r="F58" i="4" s="1"/>
  <c r="K254" i="3"/>
  <c r="F254" i="4" s="1"/>
  <c r="K202" i="3"/>
  <c r="F202" i="4" s="1"/>
  <c r="K63" i="3"/>
  <c r="F63" i="4" s="1"/>
  <c r="K337" i="3"/>
  <c r="F337" i="4" s="1"/>
  <c r="K201" i="3"/>
  <c r="F201" i="4" s="1"/>
  <c r="K307" i="3"/>
  <c r="F307" i="4" s="1"/>
  <c r="K74" i="3"/>
  <c r="F74" i="4" s="1"/>
  <c r="K200" i="3"/>
  <c r="F200" i="4" s="1"/>
  <c r="K75" i="3"/>
  <c r="F75" i="4" s="1"/>
  <c r="K76" i="3"/>
  <c r="F76" i="4" s="1"/>
  <c r="K199" i="3"/>
  <c r="F199" i="4" s="1"/>
  <c r="K221" i="3"/>
  <c r="F221" i="4" s="1"/>
  <c r="K255" i="3"/>
  <c r="F255" i="4" s="1"/>
  <c r="K198" i="3"/>
  <c r="F198" i="4" s="1"/>
  <c r="K288" i="3"/>
  <c r="F288" i="4" s="1"/>
  <c r="K197" i="3"/>
  <c r="F197" i="4" s="1"/>
  <c r="K290" i="3"/>
  <c r="F290" i="4" s="1"/>
  <c r="K308" i="3"/>
  <c r="F308" i="4" s="1"/>
  <c r="K196" i="3"/>
  <c r="F196" i="4" s="1"/>
  <c r="K316" i="3"/>
  <c r="F316" i="4" s="1"/>
  <c r="K214" i="3"/>
  <c r="F214" i="4" s="1"/>
  <c r="K195" i="3"/>
  <c r="F195" i="4" s="1"/>
  <c r="K329" i="3"/>
  <c r="F329" i="4" s="1"/>
  <c r="K332" i="3"/>
  <c r="F332" i="4" s="1"/>
  <c r="K194" i="3"/>
  <c r="F194" i="4" s="1"/>
  <c r="K212" i="3"/>
  <c r="F212" i="4" s="1"/>
  <c r="K278" i="3"/>
  <c r="F278" i="4" s="1"/>
  <c r="K193" i="3"/>
  <c r="F193" i="4" s="1"/>
  <c r="K345" i="3"/>
  <c r="F345" i="4" s="1"/>
  <c r="K210" i="3"/>
  <c r="F210" i="4" s="1"/>
  <c r="K192" i="3"/>
  <c r="F192" i="4" s="1"/>
  <c r="K352" i="3"/>
  <c r="F352" i="4" s="1"/>
  <c r="K356" i="3"/>
  <c r="F356" i="4" s="1"/>
  <c r="K209" i="3"/>
  <c r="F209" i="4" s="1"/>
  <c r="K188" i="3"/>
  <c r="F188" i="4" s="1"/>
  <c r="K362" i="3"/>
  <c r="F362" i="4" s="1"/>
  <c r="K187" i="3"/>
  <c r="F187" i="4" s="1"/>
  <c r="K298" i="3"/>
  <c r="F298" i="4" s="1"/>
  <c r="K151" i="3"/>
  <c r="F151" i="4" s="1"/>
  <c r="K304" i="3"/>
  <c r="F304" i="4" s="1"/>
  <c r="K150" i="3"/>
  <c r="F150" i="4" s="1"/>
  <c r="K267" i="3"/>
  <c r="F267" i="4" s="1"/>
  <c r="K64" i="3"/>
  <c r="F64" i="4" s="1"/>
  <c r="K148" i="3"/>
  <c r="F148" i="4" s="1"/>
  <c r="K330" i="3"/>
  <c r="F330" i="4" s="1"/>
  <c r="K303" i="3"/>
  <c r="F303" i="4" s="1"/>
  <c r="K147" i="3"/>
  <c r="F147" i="4" s="1"/>
  <c r="K78" i="3"/>
  <c r="F78" i="4" s="1"/>
  <c r="K289" i="3"/>
  <c r="F289" i="4" s="1"/>
  <c r="K145" i="3"/>
  <c r="F145" i="4" s="1"/>
  <c r="K87" i="3"/>
  <c r="F87" i="4" s="1"/>
  <c r="K90" i="3"/>
  <c r="F90" i="4" s="1"/>
  <c r="K144" i="3"/>
  <c r="F144" i="4" s="1"/>
  <c r="K266" i="3"/>
  <c r="F266" i="4" s="1"/>
  <c r="K313" i="3"/>
  <c r="F313" i="4" s="1"/>
  <c r="K256" i="3"/>
  <c r="F256" i="4" s="1"/>
  <c r="K139" i="3"/>
  <c r="F139" i="4" s="1"/>
  <c r="K280" i="3"/>
  <c r="F280" i="4" s="1"/>
  <c r="K315" i="3"/>
  <c r="F315" i="4" s="1"/>
  <c r="K138" i="3"/>
  <c r="F138" i="4" s="1"/>
  <c r="K257" i="3"/>
  <c r="F257" i="4" s="1"/>
  <c r="K323" i="3"/>
  <c r="F323" i="4" s="1"/>
  <c r="K137" i="3"/>
  <c r="F137" i="4" s="1"/>
  <c r="K299" i="3"/>
  <c r="F299" i="4" s="1"/>
  <c r="K281" i="3"/>
  <c r="F281" i="4" s="1"/>
  <c r="K136" i="3"/>
  <c r="F136" i="4" s="1"/>
  <c r="K82" i="3"/>
  <c r="F82" i="4" s="1"/>
  <c r="K265" i="3"/>
  <c r="F265" i="4" s="1"/>
  <c r="K135" i="3"/>
  <c r="F135" i="4" s="1"/>
  <c r="K80" i="3"/>
  <c r="F80" i="4" s="1"/>
  <c r="K302" i="3"/>
  <c r="F302" i="4" s="1"/>
  <c r="K258" i="3"/>
  <c r="F258" i="4" s="1"/>
  <c r="K259" i="3"/>
  <c r="F259" i="4" s="1"/>
  <c r="K131" i="3"/>
  <c r="F131" i="4" s="1"/>
  <c r="K341" i="3"/>
  <c r="F341" i="4" s="1"/>
  <c r="K130" i="3"/>
  <c r="F130" i="4" s="1"/>
  <c r="K61" i="3"/>
  <c r="F61" i="4" s="1"/>
  <c r="K128" i="3"/>
  <c r="F128" i="4" s="1"/>
  <c r="K60" i="3"/>
  <c r="F60" i="4" s="1"/>
  <c r="K56" i="3"/>
  <c r="F56" i="4" s="1"/>
  <c r="K127" i="3"/>
  <c r="F127" i="4" s="1"/>
  <c r="K52" i="3"/>
  <c r="F52" i="4" s="1"/>
  <c r="K300" i="3"/>
  <c r="F300" i="4" s="1"/>
  <c r="K43" i="3"/>
  <c r="F43" i="4" s="1"/>
  <c r="K120" i="3"/>
  <c r="F120" i="4" s="1"/>
  <c r="K264" i="3"/>
  <c r="F264" i="4" s="1"/>
  <c r="K119" i="3"/>
  <c r="F119" i="4" s="1"/>
  <c r="K301" i="3"/>
  <c r="F301" i="4" s="1"/>
  <c r="K33" i="3"/>
  <c r="F33" i="4" s="1"/>
  <c r="K263" i="3"/>
  <c r="F263" i="4" s="1"/>
  <c r="K361" i="3"/>
  <c r="F361" i="4" s="1"/>
  <c r="K113" i="3"/>
  <c r="F113" i="4" s="1"/>
  <c r="K260" i="3"/>
  <c r="F260" i="4" s="1"/>
  <c r="K112" i="3"/>
  <c r="F112" i="4" s="1"/>
  <c r="K366" i="3"/>
  <c r="F366" i="4" s="1"/>
  <c r="K261" i="3"/>
  <c r="F261" i="4" s="1"/>
  <c r="K94" i="3"/>
  <c r="F94" i="4" s="1"/>
  <c r="K108" i="3"/>
  <c r="F108" i="4" s="1"/>
  <c r="K102" i="3"/>
  <c r="F102" i="4" s="1"/>
  <c r="K370" i="3"/>
  <c r="F370" i="4" s="1"/>
  <c r="K104" i="3"/>
  <c r="F104" i="4" s="1"/>
  <c r="K103" i="3"/>
  <c r="F103" i="4" s="1"/>
  <c r="K373" i="3"/>
  <c r="F373" i="4" s="1"/>
  <c r="K374" i="3"/>
  <c r="F374" i="4" s="1"/>
  <c r="K101" i="3"/>
  <c r="F101" i="4" s="1"/>
  <c r="K105" i="3"/>
  <c r="F105" i="4" s="1"/>
  <c r="K46" i="3"/>
  <c r="F46" i="4" s="1"/>
  <c r="K100" i="3"/>
  <c r="F100" i="4" s="1"/>
  <c r="K44" i="3"/>
  <c r="F44" i="4" s="1"/>
  <c r="K4" i="3"/>
  <c r="F4" i="4" s="1"/>
  <c r="K99" i="3"/>
  <c r="F99" i="4" s="1"/>
  <c r="K106" i="3"/>
  <c r="F106" i="4" s="1"/>
  <c r="K262" i="3"/>
  <c r="F262" i="4" s="1"/>
  <c r="K98" i="3"/>
  <c r="F98" i="4" s="1"/>
  <c r="K355" i="3"/>
  <c r="F355" i="4" s="1"/>
  <c r="K146" i="3"/>
  <c r="F146" i="4" s="1"/>
  <c r="K97" i="3"/>
  <c r="F97" i="4" s="1"/>
  <c r="K359" i="3"/>
  <c r="F359" i="4" s="1"/>
  <c r="K365" i="3"/>
  <c r="F365" i="4" s="1"/>
  <c r="K96" i="3"/>
  <c r="F96" i="4" s="1"/>
  <c r="K367" i="3"/>
  <c r="F367" i="4" s="1"/>
  <c r="K95" i="3"/>
  <c r="F95" i="4" s="1"/>
  <c r="K369" i="3"/>
  <c r="F369" i="4" s="1"/>
  <c r="K143" i="3"/>
  <c r="F143" i="4" s="1"/>
  <c r="K93" i="3"/>
  <c r="F93" i="4" s="1"/>
  <c r="K371" i="3"/>
  <c r="F371" i="4" s="1"/>
  <c r="K372" i="3"/>
  <c r="F372" i="4" s="1"/>
  <c r="K92" i="3"/>
  <c r="F92" i="4" s="1"/>
  <c r="K35" i="3"/>
  <c r="F35" i="4" s="1"/>
  <c r="K88" i="3"/>
  <c r="F88" i="4" s="1"/>
  <c r="K86" i="3"/>
  <c r="F86" i="4" s="1"/>
  <c r="K107" i="3"/>
  <c r="F107" i="4" s="1"/>
  <c r="K109" i="3"/>
  <c r="F109" i="4" s="1"/>
  <c r="K110" i="3"/>
  <c r="F110" i="4" s="1"/>
  <c r="K26" i="3"/>
  <c r="F26" i="4" s="1"/>
  <c r="K111" i="3"/>
  <c r="F111" i="4" s="1"/>
  <c r="K142" i="3"/>
  <c r="F142" i="4" s="1"/>
  <c r="K11" i="3"/>
  <c r="F11" i="4" s="1"/>
  <c r="K17" i="3"/>
  <c r="F17" i="4" s="1"/>
  <c r="K25" i="3"/>
  <c r="F25" i="4" s="1"/>
  <c r="K27" i="3"/>
  <c r="F27" i="4" s="1"/>
  <c r="K29" i="3"/>
  <c r="F29" i="4" s="1"/>
  <c r="K50" i="3"/>
  <c r="F50" i="4" s="1"/>
  <c r="K49" i="3"/>
  <c r="F49" i="4" s="1"/>
  <c r="K275" i="3"/>
  <c r="F275" i="4" s="1"/>
  <c r="K47" i="3"/>
  <c r="F47" i="4" s="1"/>
  <c r="K45" i="3"/>
  <c r="F45" i="4" s="1"/>
  <c r="K34" i="3"/>
  <c r="F34" i="4" s="1"/>
  <c r="K37" i="3"/>
  <c r="F37" i="4" s="1"/>
  <c r="K140" i="3"/>
  <c r="F140" i="4" s="1"/>
  <c r="K30" i="3"/>
  <c r="F30" i="4" s="1"/>
  <c r="K31" i="3"/>
  <c r="F31" i="4" s="1"/>
  <c r="K55" i="3"/>
  <c r="F55" i="4" s="1"/>
  <c r="K32" i="3"/>
  <c r="F32" i="4" s="1"/>
  <c r="K28" i="3"/>
  <c r="F28" i="4" s="1"/>
  <c r="K134" i="3"/>
  <c r="F134" i="4" s="1"/>
  <c r="K22" i="3"/>
  <c r="F22" i="4" s="1"/>
  <c r="K20" i="3"/>
  <c r="F20" i="4" s="1"/>
  <c r="K81" i="3"/>
  <c r="F81" i="4" s="1"/>
  <c r="K133" i="3"/>
  <c r="F133" i="4" s="1"/>
  <c r="K114" i="3"/>
  <c r="F114" i="4" s="1"/>
  <c r="K12" i="3"/>
  <c r="F12" i="4" s="1"/>
  <c r="K10" i="3"/>
  <c r="F10" i="4" s="1"/>
  <c r="K116" i="3"/>
  <c r="F116" i="4" s="1"/>
  <c r="K363" i="3"/>
  <c r="F363" i="4" s="1"/>
  <c r="K186" i="3"/>
  <c r="F186" i="4" s="1"/>
  <c r="K364" i="3"/>
  <c r="F364" i="4" s="1"/>
  <c r="K309" i="3"/>
  <c r="F309" i="4" s="1"/>
  <c r="K185" i="3"/>
  <c r="F185" i="4" s="1"/>
  <c r="K284" i="3"/>
  <c r="F284" i="4" s="1"/>
  <c r="K375" i="3"/>
  <c r="F375" i="4" s="1"/>
  <c r="K184" i="3"/>
  <c r="F184" i="4" s="1"/>
  <c r="K248" i="3"/>
  <c r="F248" i="4" s="1"/>
  <c r="K117" i="3"/>
  <c r="F117" i="4" s="1"/>
  <c r="K183" i="3"/>
  <c r="F183" i="4" s="1"/>
  <c r="K85" i="3"/>
  <c r="F85" i="4" s="1"/>
  <c r="K312" i="3"/>
  <c r="F312" i="4" s="1"/>
  <c r="K182" i="3"/>
  <c r="F182" i="4" s="1"/>
  <c r="K317" i="3"/>
  <c r="F317" i="4" s="1"/>
  <c r="K320" i="3"/>
  <c r="F320" i="4" s="1"/>
  <c r="K181" i="3"/>
  <c r="F181" i="4" s="1"/>
  <c r="K322" i="3"/>
  <c r="F322" i="4" s="1"/>
  <c r="K132" i="3"/>
  <c r="F132" i="4" s="1"/>
  <c r="K180" i="3"/>
  <c r="F180" i="4" s="1"/>
  <c r="K324" i="3"/>
  <c r="F324" i="4" s="1"/>
  <c r="K325" i="3"/>
  <c r="F325" i="4" s="1"/>
  <c r="K179" i="3"/>
  <c r="F179" i="4" s="1"/>
  <c r="K3" i="3"/>
  <c r="F3" i="4" s="1"/>
  <c r="K5" i="3"/>
  <c r="F5" i="4" s="1"/>
  <c r="K178" i="3"/>
  <c r="F178" i="4" s="1"/>
  <c r="K8" i="3"/>
  <c r="F8" i="4" s="1"/>
  <c r="K277" i="3"/>
  <c r="F277" i="4" s="1"/>
  <c r="K177" i="3"/>
  <c r="F177" i="4" s="1"/>
  <c r="K13" i="3"/>
  <c r="F13" i="4" s="1"/>
  <c r="K15" i="3"/>
  <c r="F15" i="4" s="1"/>
  <c r="K176" i="3"/>
  <c r="F176" i="4" s="1"/>
  <c r="K16" i="3"/>
  <c r="F16" i="4" s="1"/>
  <c r="K19" i="3"/>
  <c r="F19" i="4" s="1"/>
  <c r="K175" i="3"/>
  <c r="F175" i="4" s="1"/>
  <c r="K191" i="3"/>
  <c r="F191" i="4" s="1"/>
  <c r="K21" i="3"/>
  <c r="F21" i="4" s="1"/>
  <c r="K174" i="3"/>
  <c r="F174" i="4" s="1"/>
  <c r="K23" i="3"/>
  <c r="F23" i="4" s="1"/>
  <c r="K326" i="3"/>
  <c r="F326" i="4" s="1"/>
  <c r="K173" i="3"/>
  <c r="F173" i="4" s="1"/>
  <c r="K327" i="3"/>
  <c r="F327" i="4" s="1"/>
  <c r="K6" i="3"/>
  <c r="F6" i="4" s="1"/>
  <c r="K172" i="3"/>
  <c r="F172" i="4" s="1"/>
  <c r="K190" i="3"/>
  <c r="F190" i="4" s="1"/>
  <c r="K40" i="3"/>
  <c r="F40" i="4" s="1"/>
  <c r="K171" i="3"/>
  <c r="F171" i="4" s="1"/>
  <c r="K7" i="3"/>
  <c r="F7" i="4" s="1"/>
  <c r="K331" i="3"/>
  <c r="F331" i="4" s="1"/>
  <c r="K170" i="3"/>
  <c r="F170" i="4" s="1"/>
  <c r="K189" i="3"/>
  <c r="F189" i="4" s="1"/>
  <c r="K333" i="3"/>
  <c r="F333" i="4" s="1"/>
  <c r="K169" i="3"/>
  <c r="F169" i="4" s="1"/>
  <c r="K57" i="3"/>
  <c r="F57" i="4" s="1"/>
  <c r="K335" i="3"/>
  <c r="F335" i="4" s="1"/>
  <c r="K168" i="3"/>
  <c r="F168" i="4" s="1"/>
  <c r="K62" i="3"/>
  <c r="F62" i="4" s="1"/>
  <c r="K339" i="3"/>
  <c r="F339" i="4" s="1"/>
  <c r="K167" i="3"/>
  <c r="F167" i="4" s="1"/>
  <c r="K343" i="3"/>
  <c r="F343" i="4" s="1"/>
  <c r="K66" i="3"/>
  <c r="F66" i="4" s="1"/>
  <c r="K166" i="3"/>
  <c r="F166" i="4" s="1"/>
  <c r="K68" i="3"/>
  <c r="F68" i="4" s="1"/>
  <c r="K69" i="3"/>
  <c r="F69" i="4" s="1"/>
  <c r="K165" i="3"/>
  <c r="F165" i="4" s="1"/>
  <c r="K118" i="3"/>
  <c r="F118" i="4" s="1"/>
  <c r="K72" i="3"/>
  <c r="F72" i="4" s="1"/>
  <c r="K164" i="3"/>
  <c r="F164" i="4" s="1"/>
  <c r="K73" i="3"/>
  <c r="F73" i="4" s="1"/>
  <c r="K344" i="3"/>
  <c r="F344" i="4" s="1"/>
  <c r="K163" i="3"/>
  <c r="F163" i="4" s="1"/>
  <c r="K346" i="3"/>
  <c r="F346" i="4" s="1"/>
  <c r="K152" i="3"/>
  <c r="F152" i="4" s="1"/>
  <c r="K162" i="3"/>
  <c r="F162" i="4" s="1"/>
  <c r="K353" i="3"/>
  <c r="F353" i="4" s="1"/>
  <c r="K354" i="3"/>
  <c r="F354" i="4" s="1"/>
  <c r="K161" i="3"/>
  <c r="F161" i="4" s="1"/>
  <c r="K291" i="3"/>
  <c r="F291" i="4" s="1"/>
  <c r="K318" i="3"/>
  <c r="F318" i="4" s="1"/>
  <c r="K160" i="3"/>
  <c r="F160" i="4" s="1"/>
  <c r="K38" i="3"/>
  <c r="F38" i="4" s="1"/>
  <c r="K321" i="3"/>
  <c r="F321" i="4" s="1"/>
  <c r="K159" i="3"/>
  <c r="F159" i="4" s="1"/>
  <c r="K18" i="3"/>
  <c r="F18" i="4" s="1"/>
  <c r="K39" i="3"/>
  <c r="F39" i="4" s="1"/>
  <c r="K158" i="3"/>
  <c r="F158" i="4" s="1"/>
  <c r="K247" i="3"/>
  <c r="F247" i="4" s="1"/>
  <c r="K121" i="3"/>
  <c r="F121" i="4" s="1"/>
  <c r="K157" i="3"/>
  <c r="F157" i="4" s="1"/>
  <c r="K149" i="3"/>
  <c r="F149" i="4" s="1"/>
  <c r="K59" i="3"/>
  <c r="F59" i="4" s="1"/>
  <c r="K156" i="3"/>
  <c r="F156" i="4" s="1"/>
  <c r="K349" i="3"/>
  <c r="F349" i="4" s="1"/>
  <c r="K276" i="3"/>
  <c r="F276" i="4" s="1"/>
  <c r="K155" i="3"/>
  <c r="F155" i="4" s="1"/>
  <c r="K351" i="3"/>
  <c r="F351" i="4" s="1"/>
  <c r="K83" i="3"/>
  <c r="F83" i="4" s="1"/>
  <c r="K154" i="3"/>
  <c r="F154" i="4" s="1"/>
  <c r="K54" i="3"/>
  <c r="F54" i="4" s="1"/>
  <c r="K91" i="3"/>
  <c r="F91" i="4" s="1"/>
  <c r="K153" i="3"/>
  <c r="F153" i="4" s="1"/>
  <c r="K115" i="3"/>
  <c r="F115" i="4" s="1"/>
  <c r="J218" i="3"/>
  <c r="E218" i="4" s="1"/>
  <c r="J217" i="3"/>
  <c r="E217" i="4" s="1"/>
  <c r="J210" i="3"/>
  <c r="E210" i="4" s="1"/>
  <c r="J209" i="3"/>
  <c r="E209" i="4" s="1"/>
  <c r="J216" i="3"/>
  <c r="E216" i="4" s="1"/>
  <c r="J215" i="3"/>
  <c r="E215" i="4" s="1"/>
  <c r="J208" i="3"/>
  <c r="E208" i="4" s="1"/>
  <c r="J213" i="3"/>
  <c r="E213" i="4" s="1"/>
  <c r="J211" i="3"/>
  <c r="E211" i="4" s="1"/>
  <c r="J197" i="3"/>
  <c r="E197" i="4" s="1"/>
  <c r="J207" i="3"/>
  <c r="E207" i="4" s="1"/>
  <c r="J195" i="3"/>
  <c r="E195" i="4" s="1"/>
  <c r="J194" i="3"/>
  <c r="E194" i="4" s="1"/>
  <c r="J193" i="3"/>
  <c r="E193" i="4" s="1"/>
  <c r="J206" i="3"/>
  <c r="E206" i="4" s="1"/>
  <c r="J192" i="3"/>
  <c r="E192" i="4" s="1"/>
  <c r="J188" i="3"/>
  <c r="E188" i="4" s="1"/>
  <c r="J151" i="3"/>
  <c r="E151" i="4" s="1"/>
  <c r="J205" i="3"/>
  <c r="E205" i="4" s="1"/>
  <c r="J150" i="3"/>
  <c r="E150" i="4" s="1"/>
  <c r="J148" i="3"/>
  <c r="E148" i="4" s="1"/>
  <c r="J147" i="3"/>
  <c r="E147" i="4" s="1"/>
  <c r="J204" i="3"/>
  <c r="E204" i="4" s="1"/>
  <c r="J145" i="3"/>
  <c r="E145" i="4" s="1"/>
  <c r="J144" i="3"/>
  <c r="E144" i="4" s="1"/>
  <c r="J139" i="3"/>
  <c r="E139" i="4" s="1"/>
  <c r="J203" i="3"/>
  <c r="E203" i="4" s="1"/>
  <c r="J138" i="3"/>
  <c r="E138" i="4" s="1"/>
  <c r="J137" i="3"/>
  <c r="E137" i="4" s="1"/>
  <c r="J136" i="3"/>
  <c r="E136" i="4" s="1"/>
  <c r="J202" i="3"/>
  <c r="E202" i="4" s="1"/>
  <c r="J135" i="3"/>
  <c r="E135" i="4" s="1"/>
  <c r="J134" i="3"/>
  <c r="E134" i="4" s="1"/>
  <c r="J131" i="3"/>
  <c r="E131" i="4" s="1"/>
  <c r="J201" i="3"/>
  <c r="E201" i="4" s="1"/>
  <c r="J363" i="3"/>
  <c r="E363" i="4" s="1"/>
  <c r="J130" i="3"/>
  <c r="E130" i="4" s="1"/>
  <c r="J359" i="3"/>
  <c r="E359" i="4" s="1"/>
  <c r="J200" i="3"/>
  <c r="E200" i="4" s="1"/>
  <c r="J358" i="3"/>
  <c r="E358" i="4" s="1"/>
  <c r="J329" i="3"/>
  <c r="E329" i="4" s="1"/>
  <c r="J78" i="3"/>
  <c r="E78" i="4" s="1"/>
  <c r="J199" i="3"/>
  <c r="E199" i="4" s="1"/>
  <c r="J128" i="3"/>
  <c r="E128" i="4" s="1"/>
  <c r="J127" i="3"/>
  <c r="E127" i="4" s="1"/>
  <c r="J77" i="3"/>
  <c r="E77" i="4" s="1"/>
  <c r="J198" i="3"/>
  <c r="E198" i="4" s="1"/>
  <c r="J51" i="3"/>
  <c r="E51" i="4" s="1"/>
  <c r="J46" i="3"/>
  <c r="E46" i="4" s="1"/>
  <c r="J41" i="3"/>
  <c r="E41" i="4" s="1"/>
  <c r="J39" i="3"/>
  <c r="E39" i="4" s="1"/>
  <c r="J125" i="3"/>
  <c r="E125" i="4" s="1"/>
  <c r="J196" i="3"/>
  <c r="E196" i="4" s="1"/>
  <c r="J33" i="3"/>
  <c r="E33" i="4" s="1"/>
  <c r="J28" i="3"/>
  <c r="E28" i="4" s="1"/>
  <c r="J27" i="3"/>
  <c r="E27" i="4" s="1"/>
  <c r="J23" i="3"/>
  <c r="E23" i="4" s="1"/>
  <c r="J21" i="3"/>
  <c r="E21" i="4" s="1"/>
  <c r="J15" i="3"/>
  <c r="E15" i="4" s="1"/>
  <c r="J373" i="3"/>
  <c r="E373" i="4" s="1"/>
  <c r="J362" i="3"/>
  <c r="E362" i="4" s="1"/>
  <c r="J361" i="3"/>
  <c r="E361" i="4" s="1"/>
  <c r="J357" i="3"/>
  <c r="E357" i="4" s="1"/>
  <c r="J354" i="3"/>
  <c r="E354" i="4" s="1"/>
  <c r="J350" i="3"/>
  <c r="E350" i="4" s="1"/>
  <c r="J120" i="3"/>
  <c r="E120" i="4" s="1"/>
  <c r="J191" i="3"/>
  <c r="E191" i="4" s="1"/>
  <c r="J190" i="3"/>
  <c r="E190" i="4" s="1"/>
  <c r="J337" i="3"/>
  <c r="E337" i="4" s="1"/>
  <c r="J189" i="3"/>
  <c r="E189" i="4" s="1"/>
  <c r="J119" i="3"/>
  <c r="E119" i="4" s="1"/>
  <c r="J322" i="3"/>
  <c r="E322" i="4" s="1"/>
  <c r="J316" i="3"/>
  <c r="E316" i="4" s="1"/>
  <c r="J313" i="3"/>
  <c r="E313" i="4" s="1"/>
  <c r="J187" i="3"/>
  <c r="E187" i="4" s="1"/>
  <c r="J152" i="3"/>
  <c r="E152" i="4" s="1"/>
  <c r="J311" i="3"/>
  <c r="E311" i="4" s="1"/>
  <c r="J87" i="3"/>
  <c r="E87" i="4" s="1"/>
  <c r="J71" i="3"/>
  <c r="E71" i="4" s="1"/>
  <c r="J50" i="3"/>
  <c r="E50" i="4" s="1"/>
  <c r="J42" i="3"/>
  <c r="E42" i="4" s="1"/>
  <c r="J149" i="3"/>
  <c r="E149" i="4" s="1"/>
  <c r="J35" i="3"/>
  <c r="E35" i="4" s="1"/>
  <c r="J115" i="3"/>
  <c r="E115" i="4" s="1"/>
  <c r="J25" i="3"/>
  <c r="E25" i="4" s="1"/>
  <c r="J9" i="3"/>
  <c r="E9" i="4" s="1"/>
  <c r="J114" i="3"/>
  <c r="E114" i="4" s="1"/>
  <c r="J4" i="3"/>
  <c r="E4" i="4" s="1"/>
  <c r="J146" i="3"/>
  <c r="E146" i="4" s="1"/>
  <c r="J113" i="3"/>
  <c r="E113" i="4" s="1"/>
  <c r="J370" i="3"/>
  <c r="E370" i="4" s="1"/>
  <c r="J112" i="3"/>
  <c r="E112" i="4" s="1"/>
  <c r="J369" i="3"/>
  <c r="E369" i="4" s="1"/>
  <c r="J368" i="3"/>
  <c r="E368" i="4" s="1"/>
  <c r="J111" i="3"/>
  <c r="E111" i="4" s="1"/>
  <c r="J143" i="3"/>
  <c r="E143" i="4" s="1"/>
  <c r="J142" i="3"/>
  <c r="E142" i="4" s="1"/>
  <c r="J366" i="3"/>
  <c r="E366" i="4" s="1"/>
  <c r="J141" i="3"/>
  <c r="E141" i="4" s="1"/>
  <c r="J140" i="3"/>
  <c r="E140" i="4" s="1"/>
  <c r="J365" i="3"/>
  <c r="E365" i="4" s="1"/>
  <c r="J360" i="3"/>
  <c r="E360" i="4" s="1"/>
  <c r="J349" i="3"/>
  <c r="E349" i="4" s="1"/>
  <c r="J340" i="3"/>
  <c r="E340" i="4" s="1"/>
  <c r="J336" i="3"/>
  <c r="E336" i="4" s="1"/>
  <c r="J108" i="3"/>
  <c r="E108" i="4" s="1"/>
  <c r="J315" i="3"/>
  <c r="E315" i="4" s="1"/>
  <c r="J314" i="3"/>
  <c r="E314" i="4" s="1"/>
  <c r="J312" i="3"/>
  <c r="E312" i="4" s="1"/>
  <c r="J83" i="3"/>
  <c r="E83" i="4" s="1"/>
  <c r="J81" i="3"/>
  <c r="E81" i="4" s="1"/>
  <c r="J68" i="3"/>
  <c r="E68" i="4" s="1"/>
  <c r="J57" i="3"/>
  <c r="E57" i="4" s="1"/>
  <c r="J11" i="3"/>
  <c r="E11" i="4" s="1"/>
  <c r="J6" i="3"/>
  <c r="E6" i="4" s="1"/>
  <c r="J5" i="3"/>
  <c r="E5" i="4" s="1"/>
  <c r="J375" i="3"/>
  <c r="E375" i="4" s="1"/>
  <c r="J133" i="3"/>
  <c r="E133" i="4" s="1"/>
  <c r="J132" i="3"/>
  <c r="E132" i="4" s="1"/>
  <c r="J103" i="3"/>
  <c r="E103" i="4" s="1"/>
  <c r="J374" i="3"/>
  <c r="E374" i="4" s="1"/>
  <c r="J372" i="3"/>
  <c r="E372" i="4" s="1"/>
  <c r="J367" i="3"/>
  <c r="E367" i="4" s="1"/>
  <c r="J129" i="3"/>
  <c r="E129" i="4" s="1"/>
  <c r="J101" i="3"/>
  <c r="E101" i="4" s="1"/>
  <c r="J100" i="3"/>
  <c r="E100" i="4" s="1"/>
  <c r="J99" i="3"/>
  <c r="E99" i="4" s="1"/>
  <c r="J98" i="3"/>
  <c r="E98" i="4" s="1"/>
  <c r="J97" i="3"/>
  <c r="E97" i="4" s="1"/>
  <c r="J96" i="3"/>
  <c r="E96" i="4" s="1"/>
  <c r="J126" i="3"/>
  <c r="E126" i="4" s="1"/>
  <c r="J356" i="3"/>
  <c r="E356" i="4" s="1"/>
  <c r="J124" i="3"/>
  <c r="E124" i="4" s="1"/>
  <c r="J123" i="3"/>
  <c r="E123" i="4" s="1"/>
  <c r="J122" i="3"/>
  <c r="E122" i="4" s="1"/>
  <c r="J121" i="3"/>
  <c r="E121" i="4" s="1"/>
  <c r="J95" i="3"/>
  <c r="E95" i="4" s="1"/>
  <c r="J355" i="3"/>
  <c r="E355" i="4" s="1"/>
  <c r="J352" i="3"/>
  <c r="E352" i="4" s="1"/>
  <c r="J347" i="3"/>
  <c r="E347" i="4" s="1"/>
  <c r="J93" i="3"/>
  <c r="E93" i="4" s="1"/>
  <c r="J118" i="3"/>
  <c r="E118" i="4" s="1"/>
  <c r="J117" i="3"/>
  <c r="E117" i="4" s="1"/>
  <c r="J116" i="3"/>
  <c r="E116" i="4" s="1"/>
  <c r="J92" i="3"/>
  <c r="E92" i="4" s="1"/>
  <c r="J346" i="3"/>
  <c r="E346" i="4" s="1"/>
  <c r="J344" i="3"/>
  <c r="E344" i="4" s="1"/>
  <c r="J335" i="3"/>
  <c r="E335" i="4" s="1"/>
  <c r="J89" i="3"/>
  <c r="E89" i="4" s="1"/>
  <c r="J88" i="3"/>
  <c r="E88" i="4" s="1"/>
  <c r="J334" i="3"/>
  <c r="E334" i="4" s="1"/>
  <c r="J333" i="3"/>
  <c r="E333" i="4" s="1"/>
  <c r="J110" i="3"/>
  <c r="E110" i="4" s="1"/>
  <c r="J109" i="3"/>
  <c r="E109" i="4" s="1"/>
  <c r="J332" i="3"/>
  <c r="E332" i="4" s="1"/>
  <c r="J327" i="3"/>
  <c r="E327" i="4" s="1"/>
  <c r="J80" i="3"/>
  <c r="E80" i="4" s="1"/>
  <c r="J326" i="3"/>
  <c r="E326" i="4" s="1"/>
  <c r="J107" i="3"/>
  <c r="E107" i="4" s="1"/>
  <c r="J106" i="3"/>
  <c r="E106" i="4" s="1"/>
  <c r="J104" i="3"/>
  <c r="E104" i="4" s="1"/>
  <c r="J74" i="3"/>
  <c r="E74" i="4" s="1"/>
  <c r="J321" i="3"/>
  <c r="E321" i="4" s="1"/>
  <c r="J319" i="3"/>
  <c r="E319" i="4" s="1"/>
  <c r="J102" i="3"/>
  <c r="E102" i="4" s="1"/>
  <c r="J317" i="3"/>
  <c r="E317" i="4" s="1"/>
  <c r="J65" i="3"/>
  <c r="E65" i="4" s="1"/>
  <c r="J85" i="3"/>
  <c r="E85" i="4" s="1"/>
  <c r="J79" i="3"/>
  <c r="E79" i="4" s="1"/>
  <c r="J72" i="3"/>
  <c r="E72" i="4" s="1"/>
  <c r="J67" i="3"/>
  <c r="E67" i="4" s="1"/>
  <c r="J66" i="3"/>
  <c r="E66" i="4" s="1"/>
  <c r="J53" i="3"/>
  <c r="E53" i="4" s="1"/>
  <c r="J40" i="3"/>
  <c r="E40" i="4" s="1"/>
  <c r="J36" i="3"/>
  <c r="E36" i="4" s="1"/>
  <c r="J371" i="3"/>
  <c r="E371" i="4" s="1"/>
  <c r="J49" i="3"/>
  <c r="E49" i="4" s="1"/>
  <c r="J364" i="3"/>
  <c r="E364" i="4" s="1"/>
  <c r="J353" i="3"/>
  <c r="E353" i="4" s="1"/>
  <c r="J351" i="3"/>
  <c r="E351" i="4" s="1"/>
  <c r="J38" i="3"/>
  <c r="E38" i="4" s="1"/>
  <c r="J343" i="3"/>
  <c r="E343" i="4" s="1"/>
  <c r="J34" i="3"/>
  <c r="E34" i="4" s="1"/>
  <c r="J338" i="3"/>
  <c r="E338" i="4" s="1"/>
  <c r="J328" i="3"/>
  <c r="E328" i="4" s="1"/>
  <c r="J94" i="3"/>
  <c r="E94" i="4" s="1"/>
  <c r="J325" i="3"/>
  <c r="E325" i="4" s="1"/>
  <c r="J324" i="3"/>
  <c r="E324" i="4" s="1"/>
  <c r="J320" i="3"/>
  <c r="E320" i="4" s="1"/>
  <c r="J20" i="3"/>
  <c r="E20" i="4" s="1"/>
  <c r="J19" i="3"/>
  <c r="E19" i="4" s="1"/>
  <c r="J318" i="3"/>
  <c r="E318" i="4" s="1"/>
  <c r="J90" i="3"/>
  <c r="E90" i="4" s="1"/>
  <c r="J14" i="3"/>
  <c r="E14" i="4" s="1"/>
  <c r="J13" i="3"/>
  <c r="E13" i="4" s="1"/>
  <c r="J84" i="3"/>
  <c r="E84" i="4" s="1"/>
  <c r="J82" i="3"/>
  <c r="E82" i="4" s="1"/>
  <c r="J62" i="3"/>
  <c r="E62" i="4" s="1"/>
  <c r="J60" i="3"/>
  <c r="E60" i="4" s="1"/>
  <c r="J59" i="3"/>
  <c r="E59" i="4" s="1"/>
  <c r="J70" i="3"/>
  <c r="E70" i="4" s="1"/>
  <c r="J55" i="3"/>
  <c r="E55" i="4" s="1"/>
  <c r="J48" i="3"/>
  <c r="E48" i="4" s="1"/>
  <c r="J248" i="3"/>
  <c r="E248" i="4" s="1"/>
  <c r="J47" i="3"/>
  <c r="E47" i="4" s="1"/>
  <c r="J37" i="3"/>
  <c r="E37" i="4" s="1"/>
  <c r="J32" i="3"/>
  <c r="E32" i="4" s="1"/>
  <c r="J247" i="3"/>
  <c r="E247" i="4" s="1"/>
  <c r="J29" i="3"/>
  <c r="E29" i="4" s="1"/>
  <c r="J17" i="3"/>
  <c r="E17" i="4" s="1"/>
  <c r="J348" i="3"/>
  <c r="E348" i="4" s="1"/>
  <c r="J246" i="3"/>
  <c r="E246" i="4" s="1"/>
  <c r="J345" i="3"/>
  <c r="E345" i="4" s="1"/>
  <c r="J342" i="3"/>
  <c r="E342" i="4" s="1"/>
  <c r="J341" i="3"/>
  <c r="E341" i="4" s="1"/>
  <c r="J245" i="3"/>
  <c r="E245" i="4" s="1"/>
  <c r="J339" i="3"/>
  <c r="E339" i="4" s="1"/>
  <c r="J331" i="3"/>
  <c r="E331" i="4" s="1"/>
  <c r="J330" i="3"/>
  <c r="E330" i="4" s="1"/>
  <c r="J244" i="3"/>
  <c r="E244" i="4" s="1"/>
  <c r="J31" i="3"/>
  <c r="E31" i="4" s="1"/>
  <c r="J30" i="3"/>
  <c r="E30" i="4" s="1"/>
  <c r="J323" i="3"/>
  <c r="E323" i="4" s="1"/>
  <c r="J26" i="3"/>
  <c r="E26" i="4" s="1"/>
  <c r="J91" i="3"/>
  <c r="E91" i="4" s="1"/>
  <c r="J86" i="3"/>
  <c r="E86" i="4" s="1"/>
  <c r="J243" i="3"/>
  <c r="E243" i="4" s="1"/>
  <c r="J18" i="3"/>
  <c r="E18" i="4" s="1"/>
  <c r="J76" i="3"/>
  <c r="E76" i="4" s="1"/>
  <c r="J75" i="3"/>
  <c r="E75" i="4" s="1"/>
  <c r="J73" i="3"/>
  <c r="E73" i="4" s="1"/>
  <c r="J242" i="3"/>
  <c r="E242" i="4" s="1"/>
  <c r="J69" i="3"/>
  <c r="E69" i="4" s="1"/>
  <c r="J10" i="3"/>
  <c r="E10" i="4" s="1"/>
  <c r="J64" i="3"/>
  <c r="E64" i="4" s="1"/>
  <c r="J7" i="3"/>
  <c r="E7" i="4" s="1"/>
  <c r="J3" i="3"/>
  <c r="E3" i="4" s="1"/>
  <c r="J63" i="3"/>
  <c r="E63" i="4" s="1"/>
  <c r="J241" i="3"/>
  <c r="E241" i="4" s="1"/>
  <c r="J186" i="3"/>
  <c r="E186" i="4" s="1"/>
  <c r="J61" i="3"/>
  <c r="E61" i="4" s="1"/>
  <c r="J58" i="3"/>
  <c r="E58" i="4" s="1"/>
  <c r="J56" i="3"/>
  <c r="E56" i="4" s="1"/>
  <c r="J185" i="3"/>
  <c r="E185" i="4" s="1"/>
  <c r="J240" i="3"/>
  <c r="E240" i="4" s="1"/>
  <c r="J54" i="3"/>
  <c r="E54" i="4" s="1"/>
  <c r="J52" i="3"/>
  <c r="E52" i="4" s="1"/>
  <c r="J184" i="3"/>
  <c r="E184" i="4" s="1"/>
  <c r="J45" i="3"/>
  <c r="E45" i="4" s="1"/>
  <c r="J239" i="3"/>
  <c r="E239" i="4" s="1"/>
  <c r="J44" i="3"/>
  <c r="E44" i="4" s="1"/>
  <c r="J183" i="3"/>
  <c r="E183" i="4" s="1"/>
  <c r="J43" i="3"/>
  <c r="E43" i="4" s="1"/>
  <c r="J24" i="3"/>
  <c r="E24" i="4" s="1"/>
  <c r="J238" i="3"/>
  <c r="E238" i="4" s="1"/>
  <c r="J182" i="3"/>
  <c r="E182" i="4" s="1"/>
  <c r="J22" i="3"/>
  <c r="E22" i="4" s="1"/>
  <c r="J16" i="3"/>
  <c r="E16" i="4" s="1"/>
  <c r="J12" i="3"/>
  <c r="E12" i="4" s="1"/>
  <c r="J181" i="3"/>
  <c r="E181" i="4" s="1"/>
  <c r="J237" i="3"/>
  <c r="E237" i="4" s="1"/>
  <c r="J8" i="3"/>
  <c r="E8" i="4" s="1"/>
  <c r="J310" i="3"/>
  <c r="E310" i="4" s="1"/>
  <c r="J180" i="3"/>
  <c r="E180" i="4" s="1"/>
  <c r="J309" i="3"/>
  <c r="E309" i="4" s="1"/>
  <c r="J236" i="3"/>
  <c r="E236" i="4" s="1"/>
  <c r="J308" i="3"/>
  <c r="E308" i="4" s="1"/>
  <c r="J179" i="3"/>
  <c r="E179" i="4" s="1"/>
  <c r="J307" i="3"/>
  <c r="E307" i="4" s="1"/>
  <c r="J306" i="3"/>
  <c r="E306" i="4" s="1"/>
  <c r="J235" i="3"/>
  <c r="E235" i="4" s="1"/>
  <c r="J178" i="3"/>
  <c r="E178" i="4" s="1"/>
  <c r="J305" i="3"/>
  <c r="E305" i="4" s="1"/>
  <c r="J304" i="3"/>
  <c r="E304" i="4" s="1"/>
  <c r="J303" i="3"/>
  <c r="E303" i="4" s="1"/>
  <c r="J177" i="3"/>
  <c r="E177" i="4" s="1"/>
  <c r="J234" i="3"/>
  <c r="E234" i="4" s="1"/>
  <c r="J302" i="3"/>
  <c r="E302" i="4" s="1"/>
  <c r="J301" i="3"/>
  <c r="E301" i="4" s="1"/>
  <c r="J176" i="3"/>
  <c r="E176" i="4" s="1"/>
  <c r="J300" i="3"/>
  <c r="E300" i="4" s="1"/>
  <c r="J233" i="3"/>
  <c r="E233" i="4" s="1"/>
  <c r="J299" i="3"/>
  <c r="E299" i="4" s="1"/>
  <c r="J175" i="3"/>
  <c r="E175" i="4" s="1"/>
  <c r="J298" i="3"/>
  <c r="E298" i="4" s="1"/>
  <c r="J297" i="3"/>
  <c r="E297" i="4" s="1"/>
  <c r="J232" i="3"/>
  <c r="E232" i="4" s="1"/>
  <c r="J174" i="3"/>
  <c r="E174" i="4" s="1"/>
  <c r="J296" i="3"/>
  <c r="E296" i="4" s="1"/>
  <c r="J295" i="3"/>
  <c r="E295" i="4" s="1"/>
  <c r="J294" i="3"/>
  <c r="E294" i="4" s="1"/>
  <c r="J173" i="3"/>
  <c r="E173" i="4" s="1"/>
  <c r="J231" i="3"/>
  <c r="E231" i="4" s="1"/>
  <c r="J293" i="3"/>
  <c r="E293" i="4" s="1"/>
  <c r="J292" i="3"/>
  <c r="E292" i="4" s="1"/>
  <c r="J172" i="3"/>
  <c r="E172" i="4" s="1"/>
  <c r="J291" i="3"/>
  <c r="E291" i="4" s="1"/>
  <c r="J230" i="3"/>
  <c r="E230" i="4" s="1"/>
  <c r="J290" i="3"/>
  <c r="E290" i="4" s="1"/>
  <c r="J171" i="3"/>
  <c r="E171" i="4" s="1"/>
  <c r="J289" i="3"/>
  <c r="E289" i="4" s="1"/>
  <c r="J288" i="3"/>
  <c r="E288" i="4" s="1"/>
  <c r="J229" i="3"/>
  <c r="E229" i="4" s="1"/>
  <c r="J170" i="3"/>
  <c r="E170" i="4" s="1"/>
  <c r="J287" i="3"/>
  <c r="E287" i="4" s="1"/>
  <c r="J286" i="3"/>
  <c r="E286" i="4" s="1"/>
  <c r="J105" i="3"/>
  <c r="E105" i="4" s="1"/>
  <c r="J169" i="3"/>
  <c r="E169" i="4" s="1"/>
  <c r="J228" i="3"/>
  <c r="E228" i="4" s="1"/>
  <c r="J285" i="3"/>
  <c r="E285" i="4" s="1"/>
  <c r="J284" i="3"/>
  <c r="E284" i="4" s="1"/>
  <c r="J168" i="3"/>
  <c r="E168" i="4" s="1"/>
  <c r="J283" i="3"/>
  <c r="E283" i="4" s="1"/>
  <c r="J227" i="3"/>
  <c r="E227" i="4" s="1"/>
  <c r="J282" i="3"/>
  <c r="E282" i="4" s="1"/>
  <c r="J167" i="3"/>
  <c r="E167" i="4" s="1"/>
  <c r="J281" i="3"/>
  <c r="E281" i="4" s="1"/>
  <c r="J280" i="3"/>
  <c r="E280" i="4" s="1"/>
  <c r="J226" i="3"/>
  <c r="E226" i="4" s="1"/>
  <c r="J166" i="3"/>
  <c r="E166" i="4" s="1"/>
  <c r="J279" i="3"/>
  <c r="E279" i="4" s="1"/>
  <c r="J278" i="3"/>
  <c r="E278" i="4" s="1"/>
  <c r="J277" i="3"/>
  <c r="E277" i="4" s="1"/>
  <c r="J165" i="3"/>
  <c r="E165" i="4" s="1"/>
  <c r="J225" i="3"/>
  <c r="E225" i="4" s="1"/>
  <c r="J276" i="3"/>
  <c r="E276" i="4" s="1"/>
  <c r="J275" i="3"/>
  <c r="E275" i="4" s="1"/>
  <c r="J164" i="3"/>
  <c r="E164" i="4" s="1"/>
  <c r="J274" i="3"/>
  <c r="E274" i="4" s="1"/>
  <c r="J224" i="3"/>
  <c r="E224" i="4" s="1"/>
  <c r="J273" i="3"/>
  <c r="E273" i="4" s="1"/>
  <c r="J163" i="3"/>
  <c r="E163" i="4" s="1"/>
  <c r="J272" i="3"/>
  <c r="E272" i="4" s="1"/>
  <c r="J271" i="3"/>
  <c r="E271" i="4" s="1"/>
  <c r="J270" i="3"/>
  <c r="E270" i="4" s="1"/>
  <c r="J162" i="3"/>
  <c r="E162" i="4" s="1"/>
  <c r="J222" i="3"/>
  <c r="E222" i="4" s="1"/>
  <c r="J269" i="3"/>
  <c r="E269" i="4" s="1"/>
  <c r="J221" i="3"/>
  <c r="E221" i="4" s="1"/>
  <c r="J161" i="3"/>
  <c r="E161" i="4" s="1"/>
  <c r="J268" i="3"/>
  <c r="E268" i="4" s="1"/>
  <c r="J267" i="3"/>
  <c r="E267" i="4" s="1"/>
  <c r="J266" i="3"/>
  <c r="E266" i="4" s="1"/>
  <c r="J160" i="3"/>
  <c r="E160" i="4" s="1"/>
  <c r="J265" i="3"/>
  <c r="E265" i="4" s="1"/>
  <c r="J264" i="3"/>
  <c r="E264" i="4" s="1"/>
  <c r="J263" i="3"/>
  <c r="E263" i="4" s="1"/>
  <c r="J159" i="3"/>
  <c r="E159" i="4" s="1"/>
  <c r="J262" i="3"/>
  <c r="E262" i="4" s="1"/>
  <c r="J261" i="3"/>
  <c r="E261" i="4" s="1"/>
  <c r="J260" i="3"/>
  <c r="E260" i="4" s="1"/>
  <c r="J158" i="3"/>
  <c r="E158" i="4" s="1"/>
  <c r="J259" i="3"/>
  <c r="E259" i="4" s="1"/>
  <c r="J258" i="3"/>
  <c r="E258" i="4" s="1"/>
  <c r="J257" i="3"/>
  <c r="E257" i="4" s="1"/>
  <c r="J157" i="3"/>
  <c r="E157" i="4" s="1"/>
  <c r="J256" i="3"/>
  <c r="E256" i="4" s="1"/>
  <c r="J255" i="3"/>
  <c r="E255" i="4" s="1"/>
  <c r="J254" i="3"/>
  <c r="E254" i="4" s="1"/>
  <c r="J156" i="3"/>
  <c r="E156" i="4" s="1"/>
  <c r="J253" i="3"/>
  <c r="E253" i="4" s="1"/>
  <c r="J252" i="3"/>
  <c r="E252" i="4" s="1"/>
  <c r="J251" i="3"/>
  <c r="E251" i="4" s="1"/>
  <c r="J155" i="3"/>
  <c r="E155" i="4" s="1"/>
  <c r="J214" i="3"/>
  <c r="E214" i="4" s="1"/>
  <c r="J250" i="3"/>
  <c r="E250" i="4" s="1"/>
  <c r="J249" i="3"/>
  <c r="E249" i="4" s="1"/>
  <c r="J154" i="3"/>
  <c r="E154" i="4" s="1"/>
  <c r="J223" i="3"/>
  <c r="E223" i="4" s="1"/>
  <c r="J220" i="3"/>
  <c r="E220" i="4" s="1"/>
  <c r="J212" i="3"/>
  <c r="E212" i="4" s="1"/>
  <c r="J153" i="3"/>
  <c r="E153" i="4" s="1"/>
  <c r="J219" i="3"/>
  <c r="E219" i="4" s="1"/>
  <c r="H255" i="3"/>
  <c r="C255" i="4" s="1"/>
  <c r="H255" i="4" s="1"/>
  <c r="H86" i="3"/>
  <c r="C86" i="4" s="1"/>
  <c r="H86" i="4" s="1"/>
  <c r="H187" i="3"/>
  <c r="C187" i="4" s="1"/>
  <c r="H187" i="4" s="1"/>
  <c r="H339" i="3"/>
  <c r="C339" i="4" s="1"/>
  <c r="H339" i="4" s="1"/>
  <c r="H340" i="3"/>
  <c r="C340" i="4" s="1"/>
  <c r="H340" i="4" s="1"/>
  <c r="H306" i="3"/>
  <c r="C306" i="4" s="1"/>
  <c r="H306" i="4" s="1"/>
  <c r="H341" i="3"/>
  <c r="C341" i="4" s="1"/>
  <c r="H341" i="4" s="1"/>
  <c r="H79" i="3"/>
  <c r="C79" i="4" s="1"/>
  <c r="H79" i="4" s="1"/>
  <c r="H254" i="3"/>
  <c r="C254" i="4" s="1"/>
  <c r="H254" i="4" s="1"/>
  <c r="H343" i="3"/>
  <c r="C343" i="4" s="1"/>
  <c r="H343" i="4" s="1"/>
  <c r="H149" i="3"/>
  <c r="C149" i="4" s="1"/>
  <c r="H149" i="4" s="1"/>
  <c r="H353" i="3"/>
  <c r="C353" i="4" s="1"/>
  <c r="H353" i="4" s="1"/>
  <c r="H291" i="3"/>
  <c r="C291" i="4" s="1"/>
  <c r="H291" i="4" s="1"/>
  <c r="H357" i="3"/>
  <c r="C357" i="4" s="1"/>
  <c r="H357" i="4" s="1"/>
  <c r="H148" i="3"/>
  <c r="C148" i="4" s="1"/>
  <c r="H148" i="4" s="1"/>
  <c r="H253" i="3"/>
  <c r="C253" i="4" s="1"/>
  <c r="H253" i="4" s="1"/>
  <c r="H362" i="3"/>
  <c r="C362" i="4" s="1"/>
  <c r="H362" i="4" s="1"/>
  <c r="H61" i="3"/>
  <c r="C61" i="4" s="1"/>
  <c r="H61" i="4" s="1"/>
  <c r="H60" i="3"/>
  <c r="C60" i="4" s="1"/>
  <c r="H60" i="4" s="1"/>
  <c r="H364" i="3"/>
  <c r="C364" i="4" s="1"/>
  <c r="H364" i="4" s="1"/>
  <c r="H307" i="3"/>
  <c r="C307" i="4" s="1"/>
  <c r="H307" i="4" s="1"/>
  <c r="H365" i="3"/>
  <c r="C365" i="4" s="1"/>
  <c r="H365" i="4" s="1"/>
  <c r="H145" i="3"/>
  <c r="C145" i="4" s="1"/>
  <c r="H145" i="4" s="1"/>
  <c r="H252" i="3"/>
  <c r="C252" i="4" s="1"/>
  <c r="H252" i="4" s="1"/>
  <c r="H369" i="3"/>
  <c r="C369" i="4" s="1"/>
  <c r="H369" i="4" s="1"/>
  <c r="H371" i="3"/>
  <c r="C371" i="4" s="1"/>
  <c r="H371" i="4" s="1"/>
  <c r="H279" i="3"/>
  <c r="C279" i="4" s="1"/>
  <c r="H279" i="4" s="1"/>
  <c r="H373" i="3"/>
  <c r="C373" i="4" s="1"/>
  <c r="H373" i="4" s="1"/>
  <c r="H251" i="3"/>
  <c r="C251" i="4" s="1"/>
  <c r="H251" i="4" s="1"/>
  <c r="H374" i="3"/>
  <c r="C374" i="4" s="1"/>
  <c r="H374" i="4" s="1"/>
  <c r="H141" i="3"/>
  <c r="C141" i="4" s="1"/>
  <c r="H141" i="4" s="1"/>
  <c r="H45" i="3"/>
  <c r="C45" i="4" s="1"/>
  <c r="H45" i="4" s="1"/>
  <c r="H140" i="3"/>
  <c r="C140" i="4" s="1"/>
  <c r="H140" i="4" s="1"/>
  <c r="H189" i="3"/>
  <c r="C189" i="4" s="1"/>
  <c r="H189" i="4" s="1"/>
  <c r="H308" i="3"/>
  <c r="C308" i="4" s="1"/>
  <c r="H308" i="4" s="1"/>
  <c r="H336" i="3"/>
  <c r="C336" i="4" s="1"/>
  <c r="H336" i="4" s="1"/>
  <c r="H139" i="3"/>
  <c r="C139" i="4" s="1"/>
  <c r="H139" i="4" s="1"/>
  <c r="H250" i="3"/>
  <c r="C250" i="4" s="1"/>
  <c r="H250" i="4" s="1"/>
  <c r="H305" i="3"/>
  <c r="C305" i="4" s="1"/>
  <c r="H305" i="4" s="1"/>
  <c r="H138" i="3"/>
  <c r="C138" i="4" s="1"/>
  <c r="H138" i="4" s="1"/>
  <c r="H309" i="3"/>
  <c r="C309" i="4" s="1"/>
  <c r="H309" i="4" s="1"/>
  <c r="H31" i="3"/>
  <c r="C31" i="4" s="1"/>
  <c r="H31" i="4" s="1"/>
  <c r="H30" i="3"/>
  <c r="C30" i="4" s="1"/>
  <c r="H30" i="4" s="1"/>
  <c r="H137" i="3"/>
  <c r="C137" i="4" s="1"/>
  <c r="H137" i="4" s="1"/>
  <c r="H249" i="3"/>
  <c r="C249" i="4" s="1"/>
  <c r="H249" i="4" s="1"/>
  <c r="H288" i="3"/>
  <c r="C288" i="4" s="1"/>
  <c r="H288" i="4" s="1"/>
  <c r="H22" i="3"/>
  <c r="C22" i="4" s="1"/>
  <c r="H22" i="4" s="1"/>
  <c r="H223" i="3"/>
  <c r="C223" i="4" s="1"/>
  <c r="H223" i="4" s="1"/>
  <c r="H47" i="3"/>
  <c r="C47" i="4" s="1"/>
  <c r="H47" i="4" s="1"/>
  <c r="H18" i="3"/>
  <c r="C18" i="4" s="1"/>
  <c r="H18" i="4" s="1"/>
  <c r="H135" i="3"/>
  <c r="C135" i="4" s="1"/>
  <c r="H135" i="4" s="1"/>
  <c r="H52" i="3"/>
  <c r="C52" i="4" s="1"/>
  <c r="H52" i="4" s="1"/>
  <c r="H72" i="3"/>
  <c r="C72" i="4" s="1"/>
  <c r="H72" i="4" s="1"/>
  <c r="H85" i="3"/>
  <c r="C85" i="4" s="1"/>
  <c r="H85" i="4" s="1"/>
  <c r="H318" i="3"/>
  <c r="C318" i="4" s="1"/>
  <c r="H318" i="4" s="1"/>
  <c r="H310" i="3"/>
  <c r="C310" i="4" s="1"/>
  <c r="H310" i="4" s="1"/>
  <c r="H220" i="3"/>
  <c r="C220" i="4" s="1"/>
  <c r="H220" i="4" s="1"/>
  <c r="H278" i="3"/>
  <c r="C278" i="4" s="1"/>
  <c r="H278" i="4" s="1"/>
  <c r="H4" i="3"/>
  <c r="C4" i="4" s="1"/>
  <c r="H4" i="4" s="1"/>
  <c r="H130" i="3"/>
  <c r="C130" i="4" s="1"/>
  <c r="H130" i="4" s="1"/>
  <c r="H219" i="3"/>
  <c r="C219" i="4" s="1"/>
  <c r="H219" i="4" s="1"/>
  <c r="H129" i="3"/>
  <c r="C129" i="4" s="1"/>
  <c r="H129" i="4" s="1"/>
  <c r="H338" i="3"/>
  <c r="C338" i="4" s="1"/>
  <c r="H338" i="4" s="1"/>
  <c r="H218" i="3"/>
  <c r="C218" i="4" s="1"/>
  <c r="H218" i="4" s="1"/>
  <c r="H3" i="3"/>
  <c r="C3" i="4" s="1"/>
  <c r="H3" i="4" s="1"/>
  <c r="H248" i="3"/>
  <c r="C248" i="4" s="1"/>
  <c r="H248" i="4" s="1"/>
  <c r="H217" i="3"/>
  <c r="C217" i="4" s="1"/>
  <c r="H217" i="4" s="1"/>
  <c r="H292" i="3"/>
  <c r="C292" i="4" s="1"/>
  <c r="H292" i="4" s="1"/>
  <c r="H127" i="3"/>
  <c r="C127" i="4" s="1"/>
  <c r="H127" i="4" s="1"/>
  <c r="H216" i="3"/>
  <c r="C216" i="4" s="1"/>
  <c r="H216" i="4" s="1"/>
  <c r="H125" i="3"/>
  <c r="C125" i="4" s="1"/>
  <c r="H125" i="4" s="1"/>
  <c r="H247" i="3"/>
  <c r="C247" i="4" s="1"/>
  <c r="H247" i="4" s="1"/>
  <c r="H215" i="3"/>
  <c r="C215" i="4" s="1"/>
  <c r="H215" i="4" s="1"/>
  <c r="H123" i="3"/>
  <c r="C123" i="4" s="1"/>
  <c r="H123" i="4" s="1"/>
  <c r="H325" i="3"/>
  <c r="C325" i="4" s="1"/>
  <c r="H325" i="4" s="1"/>
  <c r="H326" i="3"/>
  <c r="C326" i="4" s="1"/>
  <c r="H326" i="4" s="1"/>
  <c r="H121" i="3"/>
  <c r="C121" i="4" s="1"/>
  <c r="H121" i="4" s="1"/>
  <c r="H331" i="3"/>
  <c r="C331" i="4" s="1"/>
  <c r="H331" i="4" s="1"/>
  <c r="H246" i="3"/>
  <c r="C246" i="4" s="1"/>
  <c r="H246" i="4" s="1"/>
  <c r="H277" i="3"/>
  <c r="C277" i="4" s="1"/>
  <c r="H277" i="4" s="1"/>
  <c r="H213" i="3"/>
  <c r="C213" i="4" s="1"/>
  <c r="H213" i="4" s="1"/>
  <c r="H335" i="3"/>
  <c r="C335" i="4" s="1"/>
  <c r="H335" i="4" s="1"/>
  <c r="H337" i="3"/>
  <c r="C337" i="4" s="1"/>
  <c r="H337" i="4" s="1"/>
  <c r="H118" i="3"/>
  <c r="C118" i="4" s="1"/>
  <c r="H118" i="4" s="1"/>
  <c r="H245" i="3"/>
  <c r="C245" i="4" s="1"/>
  <c r="H245" i="4" s="1"/>
  <c r="H11" i="3"/>
  <c r="C11" i="4" s="1"/>
  <c r="H11" i="4" s="1"/>
  <c r="H116" i="3"/>
  <c r="C116" i="4" s="1"/>
  <c r="H116" i="4" s="1"/>
  <c r="H211" i="3"/>
  <c r="C211" i="4" s="1"/>
  <c r="H211" i="4" s="1"/>
  <c r="H344" i="3"/>
  <c r="C344" i="4" s="1"/>
  <c r="H344" i="4" s="1"/>
  <c r="H350" i="3"/>
  <c r="C350" i="4" s="1"/>
  <c r="H350" i="4" s="1"/>
  <c r="H244" i="3"/>
  <c r="C244" i="4" s="1"/>
  <c r="H244" i="4" s="1"/>
  <c r="H351" i="3"/>
  <c r="C351" i="4" s="1"/>
  <c r="H351" i="4" s="1"/>
  <c r="H355" i="3"/>
  <c r="C355" i="4" s="1"/>
  <c r="H355" i="4" s="1"/>
  <c r="H361" i="3"/>
  <c r="C361" i="4" s="1"/>
  <c r="H361" i="4" s="1"/>
  <c r="H372" i="3"/>
  <c r="C372" i="4" s="1"/>
  <c r="H372" i="4" s="1"/>
  <c r="H111" i="3"/>
  <c r="C111" i="4" s="1"/>
  <c r="H111" i="4" s="1"/>
  <c r="H243" i="3"/>
  <c r="C243" i="4" s="1"/>
  <c r="H243" i="4" s="1"/>
  <c r="H19" i="3"/>
  <c r="C19" i="4" s="1"/>
  <c r="H19" i="4" s="1"/>
  <c r="H109" i="3"/>
  <c r="C109" i="4" s="1"/>
  <c r="H109" i="4" s="1"/>
  <c r="H196" i="3"/>
  <c r="C196" i="4" s="1"/>
  <c r="H196" i="4" s="1"/>
  <c r="H284" i="3"/>
  <c r="C284" i="4" s="1"/>
  <c r="H284" i="4" s="1"/>
  <c r="H195" i="3"/>
  <c r="C195" i="4" s="1"/>
  <c r="H195" i="4" s="1"/>
  <c r="H108" i="3"/>
  <c r="C108" i="4" s="1"/>
  <c r="H108" i="4" s="1"/>
  <c r="H242" i="3"/>
  <c r="C242" i="4" s="1"/>
  <c r="H242" i="4" s="1"/>
  <c r="H21" i="3"/>
  <c r="C21" i="4" s="1"/>
  <c r="H21" i="4" s="1"/>
  <c r="H107" i="3"/>
  <c r="C107" i="4" s="1"/>
  <c r="H107" i="4" s="1"/>
  <c r="H194" i="3"/>
  <c r="C194" i="4" s="1"/>
  <c r="H194" i="4" s="1"/>
  <c r="H106" i="3"/>
  <c r="C106" i="4" s="1"/>
  <c r="H106" i="4" s="1"/>
  <c r="H38" i="3"/>
  <c r="C38" i="4" s="1"/>
  <c r="H38" i="4" s="1"/>
  <c r="H105" i="3"/>
  <c r="C105" i="4" s="1"/>
  <c r="H105" i="4" s="1"/>
  <c r="H276" i="3"/>
  <c r="C276" i="4" s="1"/>
  <c r="H276" i="4" s="1"/>
  <c r="H23" i="3"/>
  <c r="C23" i="4" s="1"/>
  <c r="H23" i="4" s="1"/>
  <c r="H241" i="3"/>
  <c r="C241" i="4" s="1"/>
  <c r="H241" i="4" s="1"/>
  <c r="H192" i="3"/>
  <c r="C192" i="4" s="1"/>
  <c r="H192" i="4" s="1"/>
  <c r="H103" i="3"/>
  <c r="C103" i="4" s="1"/>
  <c r="H103" i="4" s="1"/>
  <c r="H6" i="3"/>
  <c r="C6" i="4" s="1"/>
  <c r="H6" i="4" s="1"/>
  <c r="H102" i="3"/>
  <c r="C102" i="4" s="1"/>
  <c r="H102" i="4" s="1"/>
  <c r="H20" i="3"/>
  <c r="C20" i="4" s="1"/>
  <c r="H20" i="4" s="1"/>
  <c r="H26" i="3"/>
  <c r="C26" i="4" s="1"/>
  <c r="H26" i="4" s="1"/>
  <c r="H240" i="3"/>
  <c r="C240" i="4" s="1"/>
  <c r="H240" i="4" s="1"/>
  <c r="H101" i="3"/>
  <c r="C101" i="4" s="1"/>
  <c r="H101" i="4" s="1"/>
  <c r="H191" i="3"/>
  <c r="C191" i="4" s="1"/>
  <c r="H191" i="4" s="1"/>
  <c r="H34" i="3"/>
  <c r="C34" i="4" s="1"/>
  <c r="H34" i="4" s="1"/>
  <c r="H36" i="3"/>
  <c r="C36" i="4" s="1"/>
  <c r="H36" i="4" s="1"/>
  <c r="H100" i="3"/>
  <c r="C100" i="4" s="1"/>
  <c r="H100" i="4" s="1"/>
  <c r="H51" i="3"/>
  <c r="C51" i="4" s="1"/>
  <c r="H51" i="4" s="1"/>
  <c r="H239" i="3"/>
  <c r="C239" i="4" s="1"/>
  <c r="H239" i="4" s="1"/>
  <c r="H54" i="3"/>
  <c r="C54" i="4" s="1"/>
  <c r="H54" i="4" s="1"/>
  <c r="H59" i="3"/>
  <c r="C59" i="4" s="1"/>
  <c r="H59" i="4" s="1"/>
  <c r="H29" i="3"/>
  <c r="C29" i="4" s="1"/>
  <c r="H29" i="4" s="1"/>
  <c r="H188" i="3"/>
  <c r="C188" i="4" s="1"/>
  <c r="H188" i="4" s="1"/>
  <c r="H238" i="3"/>
  <c r="C238" i="4" s="1"/>
  <c r="H238" i="4" s="1"/>
  <c r="H64" i="3"/>
  <c r="C64" i="4" s="1"/>
  <c r="H64" i="4" s="1"/>
  <c r="H78" i="3"/>
  <c r="C78" i="4" s="1"/>
  <c r="H78" i="4" s="1"/>
  <c r="H319" i="3"/>
  <c r="C319" i="4" s="1"/>
  <c r="H319" i="4" s="1"/>
  <c r="H152" i="3"/>
  <c r="C152" i="4" s="1"/>
  <c r="H152" i="4" s="1"/>
  <c r="H96" i="3"/>
  <c r="C96" i="4" s="1"/>
  <c r="H96" i="4" s="1"/>
  <c r="H237" i="3"/>
  <c r="C237" i="4" s="1"/>
  <c r="H237" i="4" s="1"/>
  <c r="H293" i="3"/>
  <c r="C293" i="4" s="1"/>
  <c r="H293" i="4" s="1"/>
  <c r="H151" i="3"/>
  <c r="C151" i="4" s="1"/>
  <c r="H151" i="4" s="1"/>
  <c r="H95" i="3"/>
  <c r="C95" i="4" s="1"/>
  <c r="H95" i="4" s="1"/>
  <c r="H332" i="3"/>
  <c r="C332" i="4" s="1"/>
  <c r="H332" i="4" s="1"/>
  <c r="H32" i="3"/>
  <c r="C32" i="4" s="1"/>
  <c r="H32" i="4" s="1"/>
  <c r="H236" i="3"/>
  <c r="C236" i="4" s="1"/>
  <c r="H236" i="4" s="1"/>
  <c r="H150" i="3"/>
  <c r="C150" i="4" s="1"/>
  <c r="H150" i="4" s="1"/>
  <c r="H93" i="3"/>
  <c r="C93" i="4" s="1"/>
  <c r="H93" i="4" s="1"/>
  <c r="H342" i="3"/>
  <c r="C342" i="4" s="1"/>
  <c r="H342" i="4" s="1"/>
  <c r="H345" i="3"/>
  <c r="C345" i="4" s="1"/>
  <c r="H345" i="4" s="1"/>
  <c r="H348" i="3"/>
  <c r="C348" i="4" s="1"/>
  <c r="H348" i="4" s="1"/>
  <c r="H92" i="3"/>
  <c r="C92" i="4" s="1"/>
  <c r="H92" i="4" s="1"/>
  <c r="H235" i="3"/>
  <c r="C235" i="4" s="1"/>
  <c r="H235" i="4" s="1"/>
  <c r="H89" i="3"/>
  <c r="C89" i="4" s="1"/>
  <c r="H89" i="4" s="1"/>
  <c r="H275" i="3"/>
  <c r="C275" i="4" s="1"/>
  <c r="H275" i="4" s="1"/>
  <c r="H87" i="3"/>
  <c r="C87" i="4" s="1"/>
  <c r="H87" i="4" s="1"/>
  <c r="H41" i="3"/>
  <c r="C41" i="4" s="1"/>
  <c r="H41" i="4" s="1"/>
  <c r="H147" i="3"/>
  <c r="C147" i="4" s="1"/>
  <c r="H147" i="4" s="1"/>
  <c r="H80" i="3"/>
  <c r="C80" i="4" s="1"/>
  <c r="H80" i="4" s="1"/>
  <c r="H352" i="3"/>
  <c r="C352" i="4" s="1"/>
  <c r="H352" i="4" s="1"/>
  <c r="H77" i="3"/>
  <c r="C77" i="4" s="1"/>
  <c r="H77" i="4" s="1"/>
  <c r="H234" i="3"/>
  <c r="C234" i="4" s="1"/>
  <c r="H234" i="4" s="1"/>
  <c r="H356" i="3"/>
  <c r="C356" i="4" s="1"/>
  <c r="H356" i="4" s="1"/>
  <c r="H366" i="3"/>
  <c r="C366" i="4" s="1"/>
  <c r="H366" i="4" s="1"/>
  <c r="H73" i="3"/>
  <c r="C73" i="4" s="1"/>
  <c r="H73" i="4" s="1"/>
  <c r="H146" i="3"/>
  <c r="C146" i="4" s="1"/>
  <c r="H146" i="4" s="1"/>
  <c r="H53" i="3"/>
  <c r="C53" i="4" s="1"/>
  <c r="H53" i="4" s="1"/>
  <c r="H69" i="3"/>
  <c r="C69" i="4" s="1"/>
  <c r="H69" i="4" s="1"/>
  <c r="H233" i="3"/>
  <c r="C233" i="4" s="1"/>
  <c r="H233" i="4" s="1"/>
  <c r="H68" i="3"/>
  <c r="C68" i="4" s="1"/>
  <c r="H68" i="4" s="1"/>
  <c r="H66" i="3"/>
  <c r="C66" i="4" s="1"/>
  <c r="H66" i="4" s="1"/>
  <c r="H294" i="3"/>
  <c r="C294" i="4" s="1"/>
  <c r="H294" i="4" s="1"/>
  <c r="H144" i="3"/>
  <c r="C144" i="4" s="1"/>
  <c r="H144" i="4" s="1"/>
  <c r="H368" i="3"/>
  <c r="C368" i="4" s="1"/>
  <c r="H368" i="4" s="1"/>
  <c r="H370" i="3"/>
  <c r="C370" i="4" s="1"/>
  <c r="H370" i="4" s="1"/>
  <c r="H232" i="3"/>
  <c r="C232" i="4" s="1"/>
  <c r="H232" i="4" s="1"/>
  <c r="H375" i="3"/>
  <c r="C375" i="4" s="1"/>
  <c r="H375" i="4" s="1"/>
  <c r="H143" i="3"/>
  <c r="C143" i="4" s="1"/>
  <c r="H143" i="4" s="1"/>
  <c r="H153" i="3"/>
  <c r="C153" i="4" s="1"/>
  <c r="H153" i="4" s="1"/>
  <c r="H8" i="3"/>
  <c r="C8" i="4" s="1"/>
  <c r="H8" i="4" s="1"/>
  <c r="H231" i="3"/>
  <c r="C231" i="4" s="1"/>
  <c r="H231" i="4" s="1"/>
  <c r="H12" i="3"/>
  <c r="C12" i="4" s="1"/>
  <c r="H12" i="4" s="1"/>
  <c r="H142" i="3"/>
  <c r="C142" i="4" s="1"/>
  <c r="H142" i="4" s="1"/>
  <c r="H286" i="3"/>
  <c r="C286" i="4" s="1"/>
  <c r="H286" i="4" s="1"/>
  <c r="H24" i="3"/>
  <c r="C24" i="4" s="1"/>
  <c r="H24" i="4" s="1"/>
  <c r="H230" i="3"/>
  <c r="C230" i="4" s="1"/>
  <c r="H230" i="4" s="1"/>
  <c r="H35" i="3"/>
  <c r="C35" i="4" s="1"/>
  <c r="H35" i="4" s="1"/>
  <c r="H33" i="3"/>
  <c r="C33" i="4" s="1"/>
  <c r="H33" i="4" s="1"/>
  <c r="H40" i="3"/>
  <c r="C40" i="4" s="1"/>
  <c r="H40" i="4" s="1"/>
  <c r="H43" i="3"/>
  <c r="C43" i="4" s="1"/>
  <c r="H43" i="4" s="1"/>
  <c r="H55" i="3"/>
  <c r="C55" i="4" s="1"/>
  <c r="H55" i="4" s="1"/>
  <c r="H229" i="3"/>
  <c r="C229" i="4" s="1"/>
  <c r="H229" i="4" s="1"/>
  <c r="H27" i="3"/>
  <c r="C27" i="4" s="1"/>
  <c r="H27" i="4" s="1"/>
  <c r="H274" i="3"/>
  <c r="C274" i="4" s="1"/>
  <c r="H274" i="4" s="1"/>
  <c r="H67" i="3"/>
  <c r="C67" i="4" s="1"/>
  <c r="H67" i="4" s="1"/>
  <c r="H88" i="3"/>
  <c r="C88" i="4" s="1"/>
  <c r="H88" i="4" s="1"/>
  <c r="H136" i="3"/>
  <c r="C136" i="4" s="1"/>
  <c r="H136" i="4" s="1"/>
  <c r="H228" i="3"/>
  <c r="C228" i="4" s="1"/>
  <c r="H228" i="4" s="1"/>
  <c r="H287" i="3"/>
  <c r="C287" i="4" s="1"/>
  <c r="H287" i="4" s="1"/>
  <c r="H56" i="3"/>
  <c r="C56" i="4" s="1"/>
  <c r="H56" i="4" s="1"/>
  <c r="H75" i="3"/>
  <c r="C75" i="4" s="1"/>
  <c r="H75" i="4" s="1"/>
  <c r="H90" i="3"/>
  <c r="C90" i="4" s="1"/>
  <c r="H90" i="4" s="1"/>
  <c r="H13" i="3"/>
  <c r="C13" i="4" s="1"/>
  <c r="H13" i="4" s="1"/>
  <c r="H227" i="3"/>
  <c r="C227" i="4" s="1"/>
  <c r="H227" i="4" s="1"/>
  <c r="H134" i="3"/>
  <c r="C134" i="4" s="1"/>
  <c r="H134" i="4" s="1"/>
  <c r="H82" i="3"/>
  <c r="C82" i="4" s="1"/>
  <c r="H82" i="4" s="1"/>
  <c r="H9" i="3"/>
  <c r="C9" i="4" s="1"/>
  <c r="H9" i="4" s="1"/>
  <c r="H83" i="3"/>
  <c r="C83" i="4" s="1"/>
  <c r="H83" i="4" s="1"/>
  <c r="H5" i="3"/>
  <c r="C5" i="4" s="1"/>
  <c r="H5" i="4" s="1"/>
  <c r="H133" i="3"/>
  <c r="C133" i="4" s="1"/>
  <c r="H133" i="4" s="1"/>
  <c r="H226" i="3"/>
  <c r="C226" i="4" s="1"/>
  <c r="H226" i="4" s="1"/>
  <c r="H315" i="3"/>
  <c r="C315" i="4" s="1"/>
  <c r="H315" i="4" s="1"/>
  <c r="H323" i="3"/>
  <c r="C323" i="4" s="1"/>
  <c r="H323" i="4" s="1"/>
  <c r="H328" i="3"/>
  <c r="C328" i="4" s="1"/>
  <c r="H328" i="4" s="1"/>
  <c r="H186" i="3"/>
  <c r="C186" i="4" s="1"/>
  <c r="H186" i="4" s="1"/>
  <c r="H132" i="3"/>
  <c r="C132" i="4" s="1"/>
  <c r="H132" i="4" s="1"/>
  <c r="H225" i="3"/>
  <c r="C225" i="4" s="1"/>
  <c r="H225" i="4" s="1"/>
  <c r="H273" i="3"/>
  <c r="C273" i="4" s="1"/>
  <c r="H273" i="4" s="1"/>
  <c r="H131" i="3"/>
  <c r="C131" i="4" s="1"/>
  <c r="H131" i="4" s="1"/>
  <c r="H185" i="3"/>
  <c r="C185" i="4" s="1"/>
  <c r="H185" i="4" s="1"/>
  <c r="H317" i="3"/>
  <c r="C317" i="4" s="1"/>
  <c r="H317" i="4" s="1"/>
  <c r="H321" i="3"/>
  <c r="C321" i="4" s="1"/>
  <c r="H321" i="4" s="1"/>
  <c r="H224" i="3"/>
  <c r="C224" i="4" s="1"/>
  <c r="H224" i="4" s="1"/>
  <c r="H295" i="3"/>
  <c r="C295" i="4" s="1"/>
  <c r="H295" i="4" s="1"/>
  <c r="H184" i="3"/>
  <c r="C184" i="4" s="1"/>
  <c r="H184" i="4" s="1"/>
  <c r="H324" i="3"/>
  <c r="C324" i="4" s="1"/>
  <c r="H324" i="4" s="1"/>
  <c r="H272" i="3"/>
  <c r="C272" i="4" s="1"/>
  <c r="H272" i="4" s="1"/>
  <c r="H327" i="3"/>
  <c r="C327" i="4" s="1"/>
  <c r="H327" i="4" s="1"/>
  <c r="H222" i="3"/>
  <c r="C222" i="4" s="1"/>
  <c r="H222" i="4" s="1"/>
  <c r="H183" i="3"/>
  <c r="C183" i="4" s="1"/>
  <c r="H183" i="4" s="1"/>
  <c r="H333" i="3"/>
  <c r="C333" i="4" s="1"/>
  <c r="H333" i="4" s="1"/>
  <c r="H128" i="3"/>
  <c r="C128" i="4" s="1"/>
  <c r="H128" i="4" s="1"/>
  <c r="H221" i="3"/>
  <c r="C221" i="4" s="1"/>
  <c r="H221" i="4" s="1"/>
  <c r="H283" i="3"/>
  <c r="C283" i="4" s="1"/>
  <c r="H283" i="4" s="1"/>
  <c r="H182" i="3"/>
  <c r="C182" i="4" s="1"/>
  <c r="H182" i="4" s="1"/>
  <c r="H334" i="3"/>
  <c r="C334" i="4" s="1"/>
  <c r="H334" i="4" s="1"/>
  <c r="H271" i="3"/>
  <c r="C271" i="4" s="1"/>
  <c r="H271" i="4" s="1"/>
  <c r="H349" i="3"/>
  <c r="C349" i="4" s="1"/>
  <c r="H349" i="4" s="1"/>
  <c r="H126" i="3"/>
  <c r="C126" i="4" s="1"/>
  <c r="H126" i="4" s="1"/>
  <c r="H181" i="3"/>
  <c r="C181" i="4" s="1"/>
  <c r="H181" i="4" s="1"/>
  <c r="H15" i="3"/>
  <c r="C15" i="4" s="1"/>
  <c r="H15" i="4" s="1"/>
  <c r="H296" i="3"/>
  <c r="C296" i="4" s="1"/>
  <c r="H296" i="4" s="1"/>
  <c r="H39" i="3"/>
  <c r="C39" i="4" s="1"/>
  <c r="H39" i="4" s="1"/>
  <c r="H270" i="3"/>
  <c r="C270" i="4" s="1"/>
  <c r="H270" i="4" s="1"/>
  <c r="H180" i="3"/>
  <c r="C180" i="4" s="1"/>
  <c r="H180" i="4" s="1"/>
  <c r="H42" i="3"/>
  <c r="C42" i="4" s="1"/>
  <c r="H42" i="4" s="1"/>
  <c r="H44" i="3"/>
  <c r="C44" i="4" s="1"/>
  <c r="H44" i="4" s="1"/>
  <c r="H124" i="3"/>
  <c r="C124" i="4" s="1"/>
  <c r="H124" i="4" s="1"/>
  <c r="H297" i="3"/>
  <c r="C297" i="4" s="1"/>
  <c r="H297" i="4" s="1"/>
  <c r="H179" i="3"/>
  <c r="C179" i="4" s="1"/>
  <c r="H179" i="4" s="1"/>
  <c r="H46" i="3"/>
  <c r="C46" i="4" s="1"/>
  <c r="H46" i="4" s="1"/>
  <c r="H269" i="3"/>
  <c r="C269" i="4" s="1"/>
  <c r="H269" i="4" s="1"/>
  <c r="H49" i="3"/>
  <c r="C49" i="4" s="1"/>
  <c r="H49" i="4" s="1"/>
  <c r="H50" i="3"/>
  <c r="C50" i="4" s="1"/>
  <c r="H50" i="4" s="1"/>
  <c r="H178" i="3"/>
  <c r="C178" i="4" s="1"/>
  <c r="H178" i="4" s="1"/>
  <c r="H289" i="3"/>
  <c r="C289" i="4" s="1"/>
  <c r="H289" i="4" s="1"/>
  <c r="H122" i="3"/>
  <c r="C122" i="4" s="1"/>
  <c r="H122" i="4" s="1"/>
  <c r="H214" i="3"/>
  <c r="C214" i="4" s="1"/>
  <c r="H214" i="4" s="1"/>
  <c r="H57" i="3"/>
  <c r="C57" i="4" s="1"/>
  <c r="H57" i="4" s="1"/>
  <c r="H177" i="3"/>
  <c r="C177" i="4" s="1"/>
  <c r="H177" i="4" s="1"/>
  <c r="H268" i="3"/>
  <c r="C268" i="4" s="1"/>
  <c r="H268" i="4" s="1"/>
  <c r="H58" i="3"/>
  <c r="C58" i="4" s="1"/>
  <c r="H58" i="4" s="1"/>
  <c r="H63" i="3"/>
  <c r="C63" i="4" s="1"/>
  <c r="H63" i="4" s="1"/>
  <c r="H120" i="3"/>
  <c r="C120" i="4" s="1"/>
  <c r="H120" i="4" s="1"/>
  <c r="H176" i="3"/>
  <c r="C176" i="4" s="1"/>
  <c r="H176" i="4" s="1"/>
  <c r="H212" i="3"/>
  <c r="C212" i="4" s="1"/>
  <c r="H212" i="4" s="1"/>
  <c r="H298" i="3"/>
  <c r="C298" i="4" s="1"/>
  <c r="H298" i="4" s="1"/>
  <c r="H70" i="3"/>
  <c r="C70" i="4" s="1"/>
  <c r="H70" i="4" s="1"/>
  <c r="H119" i="3"/>
  <c r="C119" i="4" s="1"/>
  <c r="H119" i="4" s="1"/>
  <c r="H175" i="3"/>
  <c r="C175" i="4" s="1"/>
  <c r="H175" i="4" s="1"/>
  <c r="H267" i="3"/>
  <c r="C267" i="4" s="1"/>
  <c r="H267" i="4" s="1"/>
  <c r="H210" i="3"/>
  <c r="C210" i="4" s="1"/>
  <c r="H210" i="4" s="1"/>
  <c r="H76" i="3"/>
  <c r="C76" i="4" s="1"/>
  <c r="H76" i="4" s="1"/>
  <c r="H209" i="3"/>
  <c r="C209" i="4" s="1"/>
  <c r="H209" i="4" s="1"/>
  <c r="H174" i="3"/>
  <c r="C174" i="4" s="1"/>
  <c r="H174" i="4" s="1"/>
  <c r="H312" i="3"/>
  <c r="C312" i="4" s="1"/>
  <c r="H312" i="4" s="1"/>
  <c r="H282" i="3"/>
  <c r="C282" i="4" s="1"/>
  <c r="H282" i="4" s="1"/>
  <c r="H314" i="3"/>
  <c r="C314" i="4" s="1"/>
  <c r="H314" i="4" s="1"/>
  <c r="H266" i="3"/>
  <c r="C266" i="4" s="1"/>
  <c r="H266" i="4" s="1"/>
  <c r="H173" i="3"/>
  <c r="C173" i="4" s="1"/>
  <c r="H173" i="4" s="1"/>
  <c r="H208" i="3"/>
  <c r="C208" i="4" s="1"/>
  <c r="H208" i="4" s="1"/>
  <c r="H117" i="3"/>
  <c r="C117" i="4" s="1"/>
  <c r="H117" i="4" s="1"/>
  <c r="H316" i="3"/>
  <c r="C316" i="4" s="1"/>
  <c r="H316" i="4" s="1"/>
  <c r="H330" i="3"/>
  <c r="C330" i="4" s="1"/>
  <c r="H330" i="4" s="1"/>
  <c r="H172" i="3"/>
  <c r="C172" i="4" s="1"/>
  <c r="H172" i="4" s="1"/>
  <c r="H299" i="3"/>
  <c r="C299" i="4" s="1"/>
  <c r="H299" i="4" s="1"/>
  <c r="H207" i="3"/>
  <c r="C207" i="4" s="1"/>
  <c r="H207" i="4" s="1"/>
  <c r="H346" i="3"/>
  <c r="C346" i="4" s="1"/>
  <c r="H346" i="4" s="1"/>
  <c r="H115" i="3"/>
  <c r="C115" i="4" s="1"/>
  <c r="H115" i="4" s="1"/>
  <c r="H171" i="3"/>
  <c r="C171" i="4" s="1"/>
  <c r="H171" i="4" s="1"/>
  <c r="H265" i="3"/>
  <c r="C265" i="4" s="1"/>
  <c r="H265" i="4" s="1"/>
  <c r="H347" i="3"/>
  <c r="C347" i="4" s="1"/>
  <c r="H347" i="4" s="1"/>
  <c r="H206" i="3"/>
  <c r="C206" i="4" s="1"/>
  <c r="H206" i="4" s="1"/>
  <c r="H354" i="3"/>
  <c r="C354" i="4" s="1"/>
  <c r="H354" i="4" s="1"/>
  <c r="H170" i="3"/>
  <c r="C170" i="4" s="1"/>
  <c r="H170" i="4" s="1"/>
  <c r="H300" i="3"/>
  <c r="C300" i="4" s="1"/>
  <c r="H300" i="4" s="1"/>
  <c r="H114" i="3"/>
  <c r="C114" i="4" s="1"/>
  <c r="H114" i="4" s="1"/>
  <c r="H358" i="3"/>
  <c r="C358" i="4" s="1"/>
  <c r="H358" i="4" s="1"/>
  <c r="H205" i="3"/>
  <c r="C205" i="4" s="1"/>
  <c r="H205" i="4" s="1"/>
  <c r="H169" i="3"/>
  <c r="C169" i="4" s="1"/>
  <c r="H169" i="4" s="1"/>
  <c r="H113" i="3"/>
  <c r="C113" i="4" s="1"/>
  <c r="H113" i="4" s="1"/>
  <c r="H264" i="3"/>
  <c r="C264" i="4" s="1"/>
  <c r="H264" i="4" s="1"/>
  <c r="H359" i="3"/>
  <c r="C359" i="4" s="1"/>
  <c r="H359" i="4" s="1"/>
  <c r="H112" i="3"/>
  <c r="C112" i="4" s="1"/>
  <c r="H112" i="4" s="1"/>
  <c r="H168" i="3"/>
  <c r="C168" i="4" s="1"/>
  <c r="H168" i="4" s="1"/>
  <c r="H204" i="3"/>
  <c r="C204" i="4" s="1"/>
  <c r="H204" i="4" s="1"/>
  <c r="H360" i="3"/>
  <c r="C360" i="4" s="1"/>
  <c r="H360" i="4" s="1"/>
  <c r="H285" i="3"/>
  <c r="C285" i="4" s="1"/>
  <c r="H285" i="4" s="1"/>
  <c r="H363" i="3"/>
  <c r="C363" i="4" s="1"/>
  <c r="H363" i="4" s="1"/>
  <c r="H167" i="3"/>
  <c r="C167" i="4" s="1"/>
  <c r="H167" i="4" s="1"/>
  <c r="H263" i="3"/>
  <c r="C263" i="4" s="1"/>
  <c r="H263" i="4" s="1"/>
  <c r="H203" i="3"/>
  <c r="C203" i="4" s="1"/>
  <c r="H203" i="4" s="1"/>
  <c r="H367" i="3"/>
  <c r="C367" i="4" s="1"/>
  <c r="H367" i="4" s="1"/>
  <c r="H7" i="3"/>
  <c r="C7" i="4" s="1"/>
  <c r="H7" i="4" s="1"/>
  <c r="H166" i="3"/>
  <c r="C166" i="4" s="1"/>
  <c r="H166" i="4" s="1"/>
  <c r="H110" i="3"/>
  <c r="C110" i="4" s="1"/>
  <c r="H110" i="4" s="1"/>
  <c r="H301" i="3"/>
  <c r="C301" i="4" s="1"/>
  <c r="H301" i="4" s="1"/>
  <c r="H202" i="3"/>
  <c r="C202" i="4" s="1"/>
  <c r="H202" i="4" s="1"/>
  <c r="H10" i="3"/>
  <c r="C10" i="4" s="1"/>
  <c r="H10" i="4" s="1"/>
  <c r="H165" i="3"/>
  <c r="C165" i="4" s="1"/>
  <c r="H165" i="4" s="1"/>
  <c r="H262" i="3"/>
  <c r="C262" i="4" s="1"/>
  <c r="H262" i="4" s="1"/>
  <c r="H14" i="3"/>
  <c r="C14" i="4" s="1"/>
  <c r="H14" i="4" s="1"/>
  <c r="H16" i="3"/>
  <c r="C16" i="4" s="1"/>
  <c r="H16" i="4" s="1"/>
  <c r="H201" i="3"/>
  <c r="C201" i="4" s="1"/>
  <c r="H201" i="4" s="1"/>
  <c r="H164" i="3"/>
  <c r="C164" i="4" s="1"/>
  <c r="H164" i="4" s="1"/>
  <c r="H281" i="3"/>
  <c r="C281" i="4" s="1"/>
  <c r="H281" i="4" s="1"/>
  <c r="H17" i="3"/>
  <c r="C17" i="4" s="1"/>
  <c r="H17" i="4" s="1"/>
  <c r="H261" i="3"/>
  <c r="C261" i="4" s="1"/>
  <c r="H261" i="4" s="1"/>
  <c r="H25" i="3"/>
  <c r="C25" i="4" s="1"/>
  <c r="H25" i="4" s="1"/>
  <c r="H163" i="3"/>
  <c r="C163" i="4" s="1"/>
  <c r="H163" i="4" s="1"/>
  <c r="H200" i="3"/>
  <c r="C200" i="4" s="1"/>
  <c r="H200" i="4" s="1"/>
  <c r="H28" i="3"/>
  <c r="C28" i="4" s="1"/>
  <c r="H28" i="4" s="1"/>
  <c r="H302" i="3"/>
  <c r="C302" i="4" s="1"/>
  <c r="H302" i="4" s="1"/>
  <c r="H37" i="3"/>
  <c r="C37" i="4" s="1"/>
  <c r="H37" i="4" s="1"/>
  <c r="H162" i="3"/>
  <c r="C162" i="4" s="1"/>
  <c r="H162" i="4" s="1"/>
  <c r="H260" i="3"/>
  <c r="C260" i="4" s="1"/>
  <c r="H260" i="4" s="1"/>
  <c r="H199" i="3"/>
  <c r="C199" i="4" s="1"/>
  <c r="H199" i="4" s="1"/>
  <c r="H48" i="3"/>
  <c r="C48" i="4" s="1"/>
  <c r="H48" i="4" s="1"/>
  <c r="H62" i="3"/>
  <c r="C62" i="4" s="1"/>
  <c r="H62" i="4" s="1"/>
  <c r="H161" i="3"/>
  <c r="C161" i="4" s="1"/>
  <c r="H161" i="4" s="1"/>
  <c r="H104" i="3"/>
  <c r="C104" i="4" s="1"/>
  <c r="H104" i="4" s="1"/>
  <c r="H303" i="3"/>
  <c r="C303" i="4" s="1"/>
  <c r="H303" i="4" s="1"/>
  <c r="H198" i="3"/>
  <c r="C198" i="4" s="1"/>
  <c r="H198" i="4" s="1"/>
  <c r="H65" i="3"/>
  <c r="C65" i="4" s="1"/>
  <c r="H65" i="4" s="1"/>
  <c r="H160" i="3"/>
  <c r="C160" i="4" s="1"/>
  <c r="H160" i="4" s="1"/>
  <c r="H259" i="3"/>
  <c r="C259" i="4" s="1"/>
  <c r="H259" i="4" s="1"/>
  <c r="H197" i="3"/>
  <c r="C197" i="4" s="1"/>
  <c r="H197" i="4" s="1"/>
  <c r="H71" i="3"/>
  <c r="C71" i="4" s="1"/>
  <c r="H71" i="4" s="1"/>
  <c r="H74" i="3"/>
  <c r="C74" i="4" s="1"/>
  <c r="H74" i="4" s="1"/>
  <c r="H159" i="3"/>
  <c r="C159" i="4" s="1"/>
  <c r="H159" i="4" s="1"/>
  <c r="H290" i="3"/>
  <c r="C290" i="4" s="1"/>
  <c r="H290" i="4" s="1"/>
  <c r="H81" i="3"/>
  <c r="C81" i="4" s="1"/>
  <c r="H81" i="4" s="1"/>
  <c r="H99" i="3"/>
  <c r="C99" i="4" s="1"/>
  <c r="H99" i="4" s="1"/>
  <c r="H258" i="3"/>
  <c r="C258" i="4" s="1"/>
  <c r="H258" i="4" s="1"/>
  <c r="H158" i="3"/>
  <c r="C158" i="4" s="1"/>
  <c r="H158" i="4" s="1"/>
  <c r="H98" i="3"/>
  <c r="C98" i="4" s="1"/>
  <c r="H98" i="4" s="1"/>
  <c r="H84" i="3"/>
  <c r="C84" i="4" s="1"/>
  <c r="H84" i="4" s="1"/>
  <c r="H97" i="3"/>
  <c r="C97" i="4" s="1"/>
  <c r="H97" i="4" s="1"/>
  <c r="H91" i="3"/>
  <c r="C91" i="4" s="1"/>
  <c r="H91" i="4" s="1"/>
  <c r="H157" i="3"/>
  <c r="C157" i="4" s="1"/>
  <c r="H157" i="4" s="1"/>
  <c r="H304" i="3"/>
  <c r="C304" i="4" s="1"/>
  <c r="H304" i="4" s="1"/>
  <c r="H311" i="3"/>
  <c r="C311" i="4" s="1"/>
  <c r="H311" i="4" s="1"/>
  <c r="H257" i="3"/>
  <c r="C257" i="4" s="1"/>
  <c r="H257" i="4" s="1"/>
  <c r="H193" i="3"/>
  <c r="C193" i="4" s="1"/>
  <c r="H193" i="4" s="1"/>
  <c r="H156" i="3"/>
  <c r="C156" i="4" s="1"/>
  <c r="H156" i="4" s="1"/>
  <c r="H313" i="3"/>
  <c r="C313" i="4" s="1"/>
  <c r="H313" i="4" s="1"/>
  <c r="H320" i="3"/>
  <c r="C320" i="4" s="1"/>
  <c r="H320" i="4" s="1"/>
  <c r="H94" i="3"/>
  <c r="C94" i="4" s="1"/>
  <c r="H94" i="4" s="1"/>
  <c r="H280" i="3"/>
  <c r="C280" i="4" s="1"/>
  <c r="H280" i="4" s="1"/>
  <c r="H155" i="3"/>
  <c r="C155" i="4" s="1"/>
  <c r="H155" i="4" s="1"/>
  <c r="H322" i="3"/>
  <c r="C322" i="4" s="1"/>
  <c r="H322" i="4" s="1"/>
  <c r="H190" i="3"/>
  <c r="C190" i="4" s="1"/>
  <c r="H190" i="4" s="1"/>
  <c r="H256" i="3"/>
  <c r="C256" i="4" s="1"/>
  <c r="H256" i="4" s="1"/>
  <c r="H329" i="3"/>
  <c r="C329" i="4" s="1"/>
  <c r="H329" i="4" s="1"/>
  <c r="I329" i="4" s="1"/>
  <c r="H154" i="3"/>
  <c r="C154" i="4" s="1"/>
  <c r="H154" i="4" s="1"/>
  <c r="I154" i="4" s="1"/>
  <c r="F329" i="5" l="1"/>
  <c r="G329" i="5" s="1"/>
  <c r="J154" i="4"/>
  <c r="A154" i="5" s="1"/>
  <c r="F154" i="5"/>
  <c r="G154" i="5" s="1"/>
  <c r="I216" i="4"/>
  <c r="I187" i="4"/>
  <c r="I306" i="4"/>
  <c r="I254" i="4"/>
  <c r="J329" i="4" s="1"/>
  <c r="A329" i="5" s="1"/>
  <c r="I353" i="4"/>
  <c r="I148" i="4"/>
  <c r="I61" i="4"/>
  <c r="I307" i="4"/>
  <c r="I252" i="4"/>
  <c r="I279" i="4"/>
  <c r="I374" i="4"/>
  <c r="I140" i="4"/>
  <c r="I336" i="4"/>
  <c r="I305" i="4"/>
  <c r="I31" i="4"/>
  <c r="I249" i="4"/>
  <c r="I223" i="4"/>
  <c r="I135" i="4"/>
  <c r="I85" i="4"/>
  <c r="I220" i="4"/>
  <c r="I130" i="4"/>
  <c r="I338" i="4"/>
  <c r="I248" i="4"/>
  <c r="I127" i="4"/>
  <c r="I215" i="4"/>
  <c r="I326" i="4"/>
  <c r="I246" i="4"/>
  <c r="I335" i="4"/>
  <c r="I245" i="4"/>
  <c r="I211" i="4"/>
  <c r="I244" i="4"/>
  <c r="I361" i="4"/>
  <c r="I243" i="4"/>
  <c r="I196" i="4"/>
  <c r="I108" i="4"/>
  <c r="I107" i="4"/>
  <c r="I106" i="4"/>
  <c r="I276" i="4"/>
  <c r="I241" i="4"/>
  <c r="I6" i="4"/>
  <c r="I26" i="4"/>
  <c r="I191" i="4"/>
  <c r="I100" i="4"/>
  <c r="I54" i="4"/>
  <c r="I188" i="4"/>
  <c r="I78" i="4"/>
  <c r="I96" i="4"/>
  <c r="I151" i="4"/>
  <c r="I55" i="4"/>
  <c r="I67" i="4"/>
  <c r="I287" i="4"/>
  <c r="I13" i="4"/>
  <c r="I9" i="4"/>
  <c r="I226" i="4"/>
  <c r="I186" i="4"/>
  <c r="I131" i="4"/>
  <c r="I224" i="4"/>
  <c r="I272" i="4"/>
  <c r="I333" i="4"/>
  <c r="I182" i="4"/>
  <c r="I161" i="4"/>
  <c r="I160" i="4"/>
  <c r="I290" i="4"/>
  <c r="I84" i="4"/>
  <c r="I311" i="4"/>
  <c r="I280" i="4"/>
  <c r="I255" i="4"/>
  <c r="I340" i="4"/>
  <c r="I79" i="4"/>
  <c r="I149" i="4"/>
  <c r="I291" i="4"/>
  <c r="I253" i="4"/>
  <c r="I60" i="4"/>
  <c r="I365" i="4"/>
  <c r="I369" i="4"/>
  <c r="I373" i="4"/>
  <c r="I141" i="4"/>
  <c r="I189" i="4"/>
  <c r="I139" i="4"/>
  <c r="I138" i="4"/>
  <c r="I30" i="4"/>
  <c r="I288" i="4"/>
  <c r="I47" i="4"/>
  <c r="I52" i="4"/>
  <c r="I318" i="4"/>
  <c r="I278" i="4"/>
  <c r="I219" i="4"/>
  <c r="I218" i="4"/>
  <c r="I217" i="4"/>
  <c r="I125" i="4"/>
  <c r="I123" i="4"/>
  <c r="I121" i="4"/>
  <c r="I277" i="4"/>
  <c r="I337" i="4"/>
  <c r="I11" i="4"/>
  <c r="I344" i="4"/>
  <c r="I351" i="4"/>
  <c r="I372" i="4"/>
  <c r="I19" i="4"/>
  <c r="I284" i="4"/>
  <c r="I242" i="4"/>
  <c r="I194" i="4"/>
  <c r="I38" i="4"/>
  <c r="I103" i="4"/>
  <c r="I20" i="4"/>
  <c r="I101" i="4"/>
  <c r="I36" i="4"/>
  <c r="I239" i="4"/>
  <c r="I29" i="4"/>
  <c r="I64" i="4"/>
  <c r="I152" i="4"/>
  <c r="I293" i="4"/>
  <c r="I43" i="4"/>
  <c r="I274" i="4"/>
  <c r="I228" i="4"/>
  <c r="I90" i="4"/>
  <c r="I82" i="4"/>
  <c r="I133" i="4"/>
  <c r="I328" i="4"/>
  <c r="I273" i="4"/>
  <c r="I321" i="4"/>
  <c r="I324" i="4"/>
  <c r="I183" i="4"/>
  <c r="I221" i="4"/>
  <c r="I48" i="4"/>
  <c r="I65" i="4"/>
  <c r="I159" i="4"/>
  <c r="I98" i="4"/>
  <c r="I257" i="4"/>
  <c r="I94" i="4"/>
  <c r="I86" i="4"/>
  <c r="I339" i="4"/>
  <c r="I341" i="4"/>
  <c r="I343" i="4"/>
  <c r="I357" i="4"/>
  <c r="I362" i="4"/>
  <c r="I364" i="4"/>
  <c r="I145" i="4"/>
  <c r="I371" i="4"/>
  <c r="I251" i="4"/>
  <c r="I45" i="4"/>
  <c r="I308" i="4"/>
  <c r="I250" i="4"/>
  <c r="I309" i="4"/>
  <c r="I137" i="4"/>
  <c r="I22" i="4"/>
  <c r="I18" i="4"/>
  <c r="I72" i="4"/>
  <c r="I310" i="4"/>
  <c r="I4" i="4"/>
  <c r="I129" i="4"/>
  <c r="I3" i="4"/>
  <c r="I292" i="4"/>
  <c r="I247" i="4"/>
  <c r="I325" i="4"/>
  <c r="I331" i="4"/>
  <c r="I213" i="4"/>
  <c r="I118" i="4"/>
  <c r="I116" i="4"/>
  <c r="I350" i="4"/>
  <c r="I355" i="4"/>
  <c r="I111" i="4"/>
  <c r="I109" i="4"/>
  <c r="I195" i="4"/>
  <c r="I21" i="4"/>
  <c r="I105" i="4"/>
  <c r="I23" i="4"/>
  <c r="I192" i="4"/>
  <c r="I102" i="4"/>
  <c r="I240" i="4"/>
  <c r="I34" i="4"/>
  <c r="I51" i="4"/>
  <c r="I59" i="4"/>
  <c r="I238" i="4"/>
  <c r="I319" i="4"/>
  <c r="I237" i="4"/>
  <c r="I40" i="4"/>
  <c r="I27" i="4"/>
  <c r="I136" i="4"/>
  <c r="I75" i="4"/>
  <c r="I227" i="4"/>
  <c r="I83" i="4"/>
  <c r="I315" i="4"/>
  <c r="I132" i="4"/>
  <c r="I185" i="4"/>
  <c r="I295" i="4"/>
  <c r="I327" i="4"/>
  <c r="I128" i="4"/>
  <c r="I260" i="4"/>
  <c r="I303" i="4"/>
  <c r="I71" i="4"/>
  <c r="I258" i="4"/>
  <c r="I157" i="4"/>
  <c r="I313" i="4"/>
  <c r="I190" i="4"/>
  <c r="I95" i="4"/>
  <c r="I332" i="4"/>
  <c r="I32" i="4"/>
  <c r="I236" i="4"/>
  <c r="I150" i="4"/>
  <c r="I93" i="4"/>
  <c r="I342" i="4"/>
  <c r="I345" i="4"/>
  <c r="I348" i="4"/>
  <c r="I92" i="4"/>
  <c r="I235" i="4"/>
  <c r="I89" i="4"/>
  <c r="I275" i="4"/>
  <c r="I87" i="4"/>
  <c r="I41" i="4"/>
  <c r="I147" i="4"/>
  <c r="I80" i="4"/>
  <c r="I352" i="4"/>
  <c r="I77" i="4"/>
  <c r="I234" i="4"/>
  <c r="I356" i="4"/>
  <c r="I366" i="4"/>
  <c r="I73" i="4"/>
  <c r="I146" i="4"/>
  <c r="I53" i="4"/>
  <c r="I69" i="4"/>
  <c r="I233" i="4"/>
  <c r="I68" i="4"/>
  <c r="I66" i="4"/>
  <c r="I294" i="4"/>
  <c r="I144" i="4"/>
  <c r="I368" i="4"/>
  <c r="I370" i="4"/>
  <c r="I232" i="4"/>
  <c r="I375" i="4"/>
  <c r="I143" i="4"/>
  <c r="I153" i="4"/>
  <c r="I8" i="4"/>
  <c r="I231" i="4"/>
  <c r="I12" i="4"/>
  <c r="I142" i="4"/>
  <c r="I286" i="4"/>
  <c r="I24" i="4"/>
  <c r="I230" i="4"/>
  <c r="I35" i="4"/>
  <c r="I33" i="4"/>
  <c r="I229" i="4"/>
  <c r="I88" i="4"/>
  <c r="I56" i="4"/>
  <c r="I134" i="4"/>
  <c r="I5" i="4"/>
  <c r="I323" i="4"/>
  <c r="I225" i="4"/>
  <c r="I317" i="4"/>
  <c r="I184" i="4"/>
  <c r="I222" i="4"/>
  <c r="I283" i="4"/>
  <c r="I62" i="4"/>
  <c r="I259" i="4"/>
  <c r="I99" i="4"/>
  <c r="I97" i="4"/>
  <c r="I156" i="4"/>
  <c r="I322" i="4"/>
  <c r="I334" i="4"/>
  <c r="I271" i="4"/>
  <c r="I349" i="4"/>
  <c r="I126" i="4"/>
  <c r="I181" i="4"/>
  <c r="I15" i="4"/>
  <c r="I296" i="4"/>
  <c r="I39" i="4"/>
  <c r="I270" i="4"/>
  <c r="I180" i="4"/>
  <c r="I42" i="4"/>
  <c r="I44" i="4"/>
  <c r="I124" i="4"/>
  <c r="I297" i="4"/>
  <c r="I179" i="4"/>
  <c r="I46" i="4"/>
  <c r="I269" i="4"/>
  <c r="I49" i="4"/>
  <c r="I50" i="4"/>
  <c r="I178" i="4"/>
  <c r="I289" i="4"/>
  <c r="I122" i="4"/>
  <c r="I214" i="4"/>
  <c r="I57" i="4"/>
  <c r="I177" i="4"/>
  <c r="I268" i="4"/>
  <c r="I58" i="4"/>
  <c r="I63" i="4"/>
  <c r="I120" i="4"/>
  <c r="I176" i="4"/>
  <c r="I212" i="4"/>
  <c r="I298" i="4"/>
  <c r="I70" i="4"/>
  <c r="I119" i="4"/>
  <c r="I175" i="4"/>
  <c r="I267" i="4"/>
  <c r="I210" i="4"/>
  <c r="I76" i="4"/>
  <c r="I209" i="4"/>
  <c r="I174" i="4"/>
  <c r="I312" i="4"/>
  <c r="I282" i="4"/>
  <c r="I314" i="4"/>
  <c r="I266" i="4"/>
  <c r="I173" i="4"/>
  <c r="I208" i="4"/>
  <c r="I117" i="4"/>
  <c r="I203" i="4"/>
  <c r="I7" i="4"/>
  <c r="I110" i="4"/>
  <c r="I202" i="4"/>
  <c r="I165" i="4"/>
  <c r="I14" i="4"/>
  <c r="I201" i="4"/>
  <c r="I281" i="4"/>
  <c r="I261" i="4"/>
  <c r="I163" i="4"/>
  <c r="I28" i="4"/>
  <c r="I37" i="4"/>
  <c r="I199" i="4"/>
  <c r="I198" i="4"/>
  <c r="I74" i="4"/>
  <c r="I158" i="4"/>
  <c r="I304" i="4"/>
  <c r="I320" i="4"/>
  <c r="I256" i="4"/>
  <c r="I316" i="4"/>
  <c r="I330" i="4"/>
  <c r="I172" i="4"/>
  <c r="I299" i="4"/>
  <c r="I207" i="4"/>
  <c r="I346" i="4"/>
  <c r="I115" i="4"/>
  <c r="I171" i="4"/>
  <c r="I265" i="4"/>
  <c r="I347" i="4"/>
  <c r="I206" i="4"/>
  <c r="I354" i="4"/>
  <c r="I170" i="4"/>
  <c r="I300" i="4"/>
  <c r="I114" i="4"/>
  <c r="I358" i="4"/>
  <c r="I205" i="4"/>
  <c r="I169" i="4"/>
  <c r="I113" i="4"/>
  <c r="I264" i="4"/>
  <c r="I359" i="4"/>
  <c r="I112" i="4"/>
  <c r="I168" i="4"/>
  <c r="I204" i="4"/>
  <c r="I360" i="4"/>
  <c r="I285" i="4"/>
  <c r="I363" i="4"/>
  <c r="I167" i="4"/>
  <c r="I263" i="4"/>
  <c r="I367" i="4"/>
  <c r="I166" i="4"/>
  <c r="I301" i="4"/>
  <c r="I10" i="4"/>
  <c r="I262" i="4"/>
  <c r="I16" i="4"/>
  <c r="I164" i="4"/>
  <c r="I17" i="4"/>
  <c r="I25" i="4"/>
  <c r="I200" i="4"/>
  <c r="I302" i="4"/>
  <c r="I162" i="4"/>
  <c r="I104" i="4"/>
  <c r="I197" i="4"/>
  <c r="I81" i="4"/>
  <c r="I91" i="4"/>
  <c r="I193" i="4"/>
  <c r="I155" i="4"/>
  <c r="H329" i="5" l="1"/>
  <c r="I329" i="5"/>
  <c r="H154" i="5"/>
  <c r="I154" i="5"/>
  <c r="F216" i="5"/>
  <c r="G216" i="5" s="1"/>
  <c r="J216" i="4"/>
  <c r="A216" i="5" s="1"/>
  <c r="F187" i="5"/>
  <c r="G187" i="5" s="1"/>
  <c r="J187" i="4"/>
  <c r="A187" i="5" s="1"/>
  <c r="F306" i="5"/>
  <c r="G306" i="5" s="1"/>
  <c r="J306" i="4"/>
  <c r="A306" i="5" s="1"/>
  <c r="F254" i="5"/>
  <c r="G254" i="5" s="1"/>
  <c r="J254" i="4"/>
  <c r="A254" i="5" s="1"/>
  <c r="F353" i="5"/>
  <c r="G353" i="5" s="1"/>
  <c r="J353" i="4"/>
  <c r="A353" i="5" s="1"/>
  <c r="F148" i="5"/>
  <c r="G148" i="5" s="1"/>
  <c r="J148" i="4"/>
  <c r="A148" i="5" s="1"/>
  <c r="F61" i="5"/>
  <c r="G61" i="5" s="1"/>
  <c r="J61" i="4"/>
  <c r="A61" i="5" s="1"/>
  <c r="F307" i="5"/>
  <c r="G307" i="5" s="1"/>
  <c r="J307" i="4"/>
  <c r="A307" i="5" s="1"/>
  <c r="F252" i="5"/>
  <c r="G252" i="5" s="1"/>
  <c r="J252" i="4"/>
  <c r="A252" i="5" s="1"/>
  <c r="F279" i="5"/>
  <c r="G279" i="5" s="1"/>
  <c r="J279" i="4"/>
  <c r="A279" i="5" s="1"/>
  <c r="F374" i="5"/>
  <c r="G374" i="5" s="1"/>
  <c r="J374" i="4"/>
  <c r="A374" i="5" s="1"/>
  <c r="F140" i="5"/>
  <c r="G140" i="5" s="1"/>
  <c r="J140" i="4"/>
  <c r="A140" i="5" s="1"/>
  <c r="F336" i="5"/>
  <c r="G336" i="5" s="1"/>
  <c r="J336" i="4"/>
  <c r="A336" i="5" s="1"/>
  <c r="F305" i="5"/>
  <c r="G305" i="5" s="1"/>
  <c r="J305" i="4"/>
  <c r="A305" i="5" s="1"/>
  <c r="F31" i="5"/>
  <c r="G31" i="5" s="1"/>
  <c r="J31" i="4"/>
  <c r="A31" i="5" s="1"/>
  <c r="F249" i="5"/>
  <c r="G249" i="5" s="1"/>
  <c r="J249" i="4"/>
  <c r="A249" i="5" s="1"/>
  <c r="F223" i="5"/>
  <c r="G223" i="5" s="1"/>
  <c r="J223" i="4"/>
  <c r="A223" i="5" s="1"/>
  <c r="F135" i="5"/>
  <c r="G135" i="5" s="1"/>
  <c r="J135" i="4"/>
  <c r="A135" i="5" s="1"/>
  <c r="F85" i="5"/>
  <c r="G85" i="5" s="1"/>
  <c r="J85" i="4"/>
  <c r="A85" i="5" s="1"/>
  <c r="F220" i="5"/>
  <c r="G220" i="5" s="1"/>
  <c r="J220" i="4"/>
  <c r="A220" i="5" s="1"/>
  <c r="F130" i="5"/>
  <c r="G130" i="5" s="1"/>
  <c r="J130" i="4"/>
  <c r="A130" i="5" s="1"/>
  <c r="F338" i="5"/>
  <c r="G338" i="5" s="1"/>
  <c r="J338" i="4"/>
  <c r="A338" i="5" s="1"/>
  <c r="F248" i="5"/>
  <c r="G248" i="5" s="1"/>
  <c r="J248" i="4"/>
  <c r="A248" i="5" s="1"/>
  <c r="F127" i="5"/>
  <c r="G127" i="5" s="1"/>
  <c r="J127" i="4"/>
  <c r="A127" i="5" s="1"/>
  <c r="F215" i="5"/>
  <c r="G215" i="5" s="1"/>
  <c r="J215" i="4"/>
  <c r="A215" i="5" s="1"/>
  <c r="F326" i="5"/>
  <c r="G326" i="5" s="1"/>
  <c r="J326" i="4"/>
  <c r="A326" i="5" s="1"/>
  <c r="F246" i="5"/>
  <c r="G246" i="5" s="1"/>
  <c r="J246" i="4"/>
  <c r="A246" i="5" s="1"/>
  <c r="F335" i="5"/>
  <c r="G335" i="5" s="1"/>
  <c r="J335" i="4"/>
  <c r="A335" i="5" s="1"/>
  <c r="F245" i="5"/>
  <c r="G245" i="5" s="1"/>
  <c r="J245" i="4"/>
  <c r="A245" i="5" s="1"/>
  <c r="F211" i="5"/>
  <c r="G211" i="5" s="1"/>
  <c r="J211" i="4"/>
  <c r="A211" i="5" s="1"/>
  <c r="F244" i="5"/>
  <c r="G244" i="5" s="1"/>
  <c r="J244" i="4"/>
  <c r="A244" i="5" s="1"/>
  <c r="F361" i="5"/>
  <c r="G361" i="5" s="1"/>
  <c r="J361" i="4"/>
  <c r="A361" i="5" s="1"/>
  <c r="F243" i="5"/>
  <c r="G243" i="5" s="1"/>
  <c r="J243" i="4"/>
  <c r="A243" i="5" s="1"/>
  <c r="F196" i="5"/>
  <c r="G196" i="5" s="1"/>
  <c r="J196" i="4"/>
  <c r="A196" i="5" s="1"/>
  <c r="F108" i="5"/>
  <c r="G108" i="5" s="1"/>
  <c r="J108" i="4"/>
  <c r="A108" i="5" s="1"/>
  <c r="F107" i="5"/>
  <c r="G107" i="5" s="1"/>
  <c r="J107" i="4"/>
  <c r="A107" i="5" s="1"/>
  <c r="F106" i="5"/>
  <c r="G106" i="5" s="1"/>
  <c r="J106" i="4"/>
  <c r="A106" i="5" s="1"/>
  <c r="F276" i="5"/>
  <c r="G276" i="5" s="1"/>
  <c r="J276" i="4"/>
  <c r="A276" i="5" s="1"/>
  <c r="F241" i="5"/>
  <c r="G241" i="5" s="1"/>
  <c r="J241" i="4"/>
  <c r="A241" i="5" s="1"/>
  <c r="F6" i="5"/>
  <c r="G6" i="5" s="1"/>
  <c r="J6" i="4"/>
  <c r="A6" i="5" s="1"/>
  <c r="F26" i="5"/>
  <c r="G26" i="5" s="1"/>
  <c r="J26" i="4"/>
  <c r="A26" i="5" s="1"/>
  <c r="F191" i="5"/>
  <c r="G191" i="5" s="1"/>
  <c r="J191" i="4"/>
  <c r="A191" i="5" s="1"/>
  <c r="F100" i="5"/>
  <c r="G100" i="5" s="1"/>
  <c r="J100" i="4"/>
  <c r="A100" i="5" s="1"/>
  <c r="J54" i="4"/>
  <c r="A54" i="5" s="1"/>
  <c r="F54" i="5"/>
  <c r="G54" i="5" s="1"/>
  <c r="F188" i="5"/>
  <c r="G188" i="5" s="1"/>
  <c r="J188" i="4"/>
  <c r="A188" i="5" s="1"/>
  <c r="F78" i="5"/>
  <c r="G78" i="5" s="1"/>
  <c r="J78" i="4"/>
  <c r="A78" i="5" s="1"/>
  <c r="F96" i="5"/>
  <c r="G96" i="5" s="1"/>
  <c r="J96" i="4"/>
  <c r="A96" i="5" s="1"/>
  <c r="F151" i="5"/>
  <c r="G151" i="5" s="1"/>
  <c r="J151" i="4"/>
  <c r="A151" i="5" s="1"/>
  <c r="F55" i="5"/>
  <c r="G55" i="5" s="1"/>
  <c r="J55" i="4"/>
  <c r="A55" i="5" s="1"/>
  <c r="J67" i="4"/>
  <c r="A67" i="5" s="1"/>
  <c r="F67" i="5"/>
  <c r="G67" i="5" s="1"/>
  <c r="F287" i="5"/>
  <c r="G287" i="5" s="1"/>
  <c r="J287" i="4"/>
  <c r="A287" i="5" s="1"/>
  <c r="F13" i="5"/>
  <c r="G13" i="5" s="1"/>
  <c r="J13" i="4"/>
  <c r="A13" i="5" s="1"/>
  <c r="F9" i="5"/>
  <c r="G9" i="5" s="1"/>
  <c r="J9" i="4"/>
  <c r="A9" i="5" s="1"/>
  <c r="F226" i="5"/>
  <c r="G226" i="5" s="1"/>
  <c r="J226" i="4"/>
  <c r="A226" i="5" s="1"/>
  <c r="F186" i="5"/>
  <c r="G186" i="5" s="1"/>
  <c r="J186" i="4"/>
  <c r="A186" i="5" s="1"/>
  <c r="F131" i="5"/>
  <c r="G131" i="5" s="1"/>
  <c r="J131" i="4"/>
  <c r="A131" i="5" s="1"/>
  <c r="F224" i="5"/>
  <c r="G224" i="5" s="1"/>
  <c r="J224" i="4"/>
  <c r="A224" i="5" s="1"/>
  <c r="F272" i="5"/>
  <c r="G272" i="5" s="1"/>
  <c r="J272" i="4"/>
  <c r="A272" i="5" s="1"/>
  <c r="F333" i="5"/>
  <c r="G333" i="5" s="1"/>
  <c r="J333" i="4"/>
  <c r="A333" i="5" s="1"/>
  <c r="F182" i="5"/>
  <c r="G182" i="5" s="1"/>
  <c r="J182" i="4"/>
  <c r="A182" i="5" s="1"/>
  <c r="F161" i="5"/>
  <c r="G161" i="5" s="1"/>
  <c r="J161" i="4"/>
  <c r="A161" i="5" s="1"/>
  <c r="F160" i="5"/>
  <c r="G160" i="5" s="1"/>
  <c r="J160" i="4"/>
  <c r="A160" i="5" s="1"/>
  <c r="F290" i="5"/>
  <c r="G290" i="5" s="1"/>
  <c r="J290" i="4"/>
  <c r="A290" i="5" s="1"/>
  <c r="F84" i="5"/>
  <c r="G84" i="5" s="1"/>
  <c r="J84" i="4"/>
  <c r="A84" i="5" s="1"/>
  <c r="F311" i="5"/>
  <c r="G311" i="5" s="1"/>
  <c r="J311" i="4"/>
  <c r="A311" i="5" s="1"/>
  <c r="F280" i="5"/>
  <c r="G280" i="5" s="1"/>
  <c r="J280" i="4"/>
  <c r="A280" i="5" s="1"/>
  <c r="F255" i="5"/>
  <c r="G255" i="5" s="1"/>
  <c r="J255" i="4"/>
  <c r="A255" i="5" s="1"/>
  <c r="F340" i="5"/>
  <c r="G340" i="5" s="1"/>
  <c r="J340" i="4"/>
  <c r="A340" i="5" s="1"/>
  <c r="F79" i="5"/>
  <c r="G79" i="5" s="1"/>
  <c r="J79" i="4"/>
  <c r="A79" i="5" s="1"/>
  <c r="F149" i="5"/>
  <c r="G149" i="5" s="1"/>
  <c r="J149" i="4"/>
  <c r="A149" i="5" s="1"/>
  <c r="F291" i="5"/>
  <c r="G291" i="5" s="1"/>
  <c r="J291" i="4"/>
  <c r="A291" i="5" s="1"/>
  <c r="F253" i="5"/>
  <c r="G253" i="5" s="1"/>
  <c r="J253" i="4"/>
  <c r="A253" i="5" s="1"/>
  <c r="F60" i="5"/>
  <c r="G60" i="5" s="1"/>
  <c r="J60" i="4"/>
  <c r="A60" i="5" s="1"/>
  <c r="F365" i="5"/>
  <c r="G365" i="5" s="1"/>
  <c r="J365" i="4"/>
  <c r="A365" i="5" s="1"/>
  <c r="F369" i="5"/>
  <c r="G369" i="5" s="1"/>
  <c r="J369" i="4"/>
  <c r="A369" i="5" s="1"/>
  <c r="F373" i="5"/>
  <c r="G373" i="5" s="1"/>
  <c r="J373" i="4"/>
  <c r="A373" i="5" s="1"/>
  <c r="F141" i="5"/>
  <c r="G141" i="5" s="1"/>
  <c r="J141" i="4"/>
  <c r="A141" i="5" s="1"/>
  <c r="F189" i="5"/>
  <c r="G189" i="5" s="1"/>
  <c r="J189" i="4"/>
  <c r="A189" i="5" s="1"/>
  <c r="F139" i="5"/>
  <c r="G139" i="5" s="1"/>
  <c r="J139" i="4"/>
  <c r="A139" i="5" s="1"/>
  <c r="F138" i="5"/>
  <c r="G138" i="5" s="1"/>
  <c r="J138" i="4"/>
  <c r="A138" i="5" s="1"/>
  <c r="F30" i="5"/>
  <c r="G30" i="5" s="1"/>
  <c r="J30" i="4"/>
  <c r="A30" i="5" s="1"/>
  <c r="F288" i="5"/>
  <c r="G288" i="5" s="1"/>
  <c r="J288" i="4"/>
  <c r="A288" i="5" s="1"/>
  <c r="F47" i="5"/>
  <c r="G47" i="5" s="1"/>
  <c r="J47" i="4"/>
  <c r="A47" i="5" s="1"/>
  <c r="J52" i="4"/>
  <c r="A52" i="5" s="1"/>
  <c r="F52" i="5"/>
  <c r="G52" i="5" s="1"/>
  <c r="F318" i="5"/>
  <c r="G318" i="5" s="1"/>
  <c r="J318" i="4"/>
  <c r="A318" i="5" s="1"/>
  <c r="F278" i="5"/>
  <c r="G278" i="5" s="1"/>
  <c r="J278" i="4"/>
  <c r="A278" i="5" s="1"/>
  <c r="F219" i="5"/>
  <c r="G219" i="5" s="1"/>
  <c r="J219" i="4"/>
  <c r="A219" i="5" s="1"/>
  <c r="F218" i="5"/>
  <c r="G218" i="5" s="1"/>
  <c r="J218" i="4"/>
  <c r="A218" i="5" s="1"/>
  <c r="F217" i="5"/>
  <c r="G217" i="5" s="1"/>
  <c r="J217" i="4"/>
  <c r="A217" i="5" s="1"/>
  <c r="F125" i="5"/>
  <c r="G125" i="5" s="1"/>
  <c r="J125" i="4"/>
  <c r="A125" i="5" s="1"/>
  <c r="F123" i="5"/>
  <c r="G123" i="5" s="1"/>
  <c r="J123" i="4"/>
  <c r="A123" i="5" s="1"/>
  <c r="F121" i="5"/>
  <c r="G121" i="5" s="1"/>
  <c r="J121" i="4"/>
  <c r="A121" i="5" s="1"/>
  <c r="F277" i="5"/>
  <c r="G277" i="5" s="1"/>
  <c r="J277" i="4"/>
  <c r="A277" i="5" s="1"/>
  <c r="F337" i="5"/>
  <c r="G337" i="5" s="1"/>
  <c r="J337" i="4"/>
  <c r="A337" i="5" s="1"/>
  <c r="F11" i="5"/>
  <c r="G11" i="5" s="1"/>
  <c r="J11" i="4"/>
  <c r="A11" i="5" s="1"/>
  <c r="F344" i="5"/>
  <c r="G344" i="5" s="1"/>
  <c r="J344" i="4"/>
  <c r="A344" i="5" s="1"/>
  <c r="F351" i="5"/>
  <c r="G351" i="5" s="1"/>
  <c r="J351" i="4"/>
  <c r="A351" i="5" s="1"/>
  <c r="F372" i="5"/>
  <c r="G372" i="5" s="1"/>
  <c r="J372" i="4"/>
  <c r="A372" i="5" s="1"/>
  <c r="F19" i="5"/>
  <c r="G19" i="5" s="1"/>
  <c r="J19" i="4"/>
  <c r="A19" i="5" s="1"/>
  <c r="F284" i="5"/>
  <c r="G284" i="5" s="1"/>
  <c r="J284" i="4"/>
  <c r="A284" i="5" s="1"/>
  <c r="F242" i="5"/>
  <c r="G242" i="5" s="1"/>
  <c r="J242" i="4"/>
  <c r="A242" i="5" s="1"/>
  <c r="F194" i="5"/>
  <c r="G194" i="5" s="1"/>
  <c r="J194" i="4"/>
  <c r="A194" i="5" s="1"/>
  <c r="J38" i="4"/>
  <c r="A38" i="5" s="1"/>
  <c r="F38" i="5"/>
  <c r="G38" i="5" s="1"/>
  <c r="F103" i="5"/>
  <c r="G103" i="5" s="1"/>
  <c r="J103" i="4"/>
  <c r="A103" i="5" s="1"/>
  <c r="F20" i="5"/>
  <c r="G20" i="5" s="1"/>
  <c r="J20" i="4"/>
  <c r="A20" i="5" s="1"/>
  <c r="F101" i="5"/>
  <c r="G101" i="5" s="1"/>
  <c r="J101" i="4"/>
  <c r="A101" i="5" s="1"/>
  <c r="J36" i="4"/>
  <c r="A36" i="5" s="1"/>
  <c r="F36" i="5"/>
  <c r="G36" i="5" s="1"/>
  <c r="F239" i="5"/>
  <c r="G239" i="5" s="1"/>
  <c r="J239" i="4"/>
  <c r="A239" i="5" s="1"/>
  <c r="J29" i="4"/>
  <c r="A29" i="5" s="1"/>
  <c r="F29" i="5"/>
  <c r="G29" i="5" s="1"/>
  <c r="F64" i="5"/>
  <c r="G64" i="5" s="1"/>
  <c r="J64" i="4"/>
  <c r="A64" i="5" s="1"/>
  <c r="F152" i="5"/>
  <c r="G152" i="5" s="1"/>
  <c r="J152" i="4"/>
  <c r="A152" i="5" s="1"/>
  <c r="F293" i="5"/>
  <c r="G293" i="5" s="1"/>
  <c r="J293" i="4"/>
  <c r="A293" i="5" s="1"/>
  <c r="F43" i="5"/>
  <c r="G43" i="5" s="1"/>
  <c r="J43" i="4"/>
  <c r="A43" i="5" s="1"/>
  <c r="F274" i="5"/>
  <c r="G274" i="5" s="1"/>
  <c r="J274" i="4"/>
  <c r="A274" i="5" s="1"/>
  <c r="F228" i="5"/>
  <c r="G228" i="5" s="1"/>
  <c r="J228" i="4"/>
  <c r="A228" i="5" s="1"/>
  <c r="F90" i="5"/>
  <c r="G90" i="5" s="1"/>
  <c r="J90" i="4"/>
  <c r="A90" i="5" s="1"/>
  <c r="F82" i="5"/>
  <c r="G82" i="5" s="1"/>
  <c r="J82" i="4"/>
  <c r="A82" i="5" s="1"/>
  <c r="F133" i="5"/>
  <c r="G133" i="5" s="1"/>
  <c r="J133" i="4"/>
  <c r="A133" i="5" s="1"/>
  <c r="F328" i="5"/>
  <c r="G328" i="5" s="1"/>
  <c r="J328" i="4"/>
  <c r="A328" i="5" s="1"/>
  <c r="F273" i="5"/>
  <c r="G273" i="5" s="1"/>
  <c r="J273" i="4"/>
  <c r="A273" i="5" s="1"/>
  <c r="F321" i="5"/>
  <c r="G321" i="5" s="1"/>
  <c r="J321" i="4"/>
  <c r="A321" i="5" s="1"/>
  <c r="F324" i="5"/>
  <c r="G324" i="5" s="1"/>
  <c r="J324" i="4"/>
  <c r="A324" i="5" s="1"/>
  <c r="F183" i="5"/>
  <c r="G183" i="5" s="1"/>
  <c r="J183" i="4"/>
  <c r="A183" i="5" s="1"/>
  <c r="F221" i="5"/>
  <c r="G221" i="5" s="1"/>
  <c r="J221" i="4"/>
  <c r="A221" i="5" s="1"/>
  <c r="F48" i="5"/>
  <c r="G48" i="5" s="1"/>
  <c r="J48" i="4"/>
  <c r="A48" i="5" s="1"/>
  <c r="F65" i="5"/>
  <c r="G65" i="5" s="1"/>
  <c r="J65" i="4"/>
  <c r="A65" i="5" s="1"/>
  <c r="F159" i="5"/>
  <c r="G159" i="5" s="1"/>
  <c r="J159" i="4"/>
  <c r="A159" i="5" s="1"/>
  <c r="F98" i="5"/>
  <c r="G98" i="5" s="1"/>
  <c r="J98" i="4"/>
  <c r="A98" i="5" s="1"/>
  <c r="F257" i="5"/>
  <c r="G257" i="5" s="1"/>
  <c r="J257" i="4"/>
  <c r="A257" i="5" s="1"/>
  <c r="F94" i="5"/>
  <c r="G94" i="5" s="1"/>
  <c r="J94" i="4"/>
  <c r="A94" i="5" s="1"/>
  <c r="F86" i="5"/>
  <c r="G86" i="5" s="1"/>
  <c r="J86" i="4"/>
  <c r="A86" i="5" s="1"/>
  <c r="F339" i="5"/>
  <c r="G339" i="5" s="1"/>
  <c r="J339" i="4"/>
  <c r="A339" i="5" s="1"/>
  <c r="F341" i="5"/>
  <c r="G341" i="5" s="1"/>
  <c r="J341" i="4"/>
  <c r="A341" i="5" s="1"/>
  <c r="F343" i="5"/>
  <c r="G343" i="5" s="1"/>
  <c r="J343" i="4"/>
  <c r="A343" i="5" s="1"/>
  <c r="F357" i="5"/>
  <c r="G357" i="5" s="1"/>
  <c r="J357" i="4"/>
  <c r="A357" i="5" s="1"/>
  <c r="F362" i="5"/>
  <c r="G362" i="5" s="1"/>
  <c r="J362" i="4"/>
  <c r="A362" i="5" s="1"/>
  <c r="F364" i="5"/>
  <c r="G364" i="5" s="1"/>
  <c r="J364" i="4"/>
  <c r="A364" i="5" s="1"/>
  <c r="F145" i="5"/>
  <c r="G145" i="5" s="1"/>
  <c r="J145" i="4"/>
  <c r="A145" i="5" s="1"/>
  <c r="F371" i="5"/>
  <c r="G371" i="5" s="1"/>
  <c r="J371" i="4"/>
  <c r="A371" i="5" s="1"/>
  <c r="F251" i="5"/>
  <c r="G251" i="5" s="1"/>
  <c r="J251" i="4"/>
  <c r="A251" i="5" s="1"/>
  <c r="J45" i="4"/>
  <c r="A45" i="5" s="1"/>
  <c r="F45" i="5"/>
  <c r="G45" i="5" s="1"/>
  <c r="F308" i="5"/>
  <c r="G308" i="5" s="1"/>
  <c r="J308" i="4"/>
  <c r="A308" i="5" s="1"/>
  <c r="F250" i="5"/>
  <c r="G250" i="5" s="1"/>
  <c r="J250" i="4"/>
  <c r="A250" i="5" s="1"/>
  <c r="F309" i="5"/>
  <c r="G309" i="5" s="1"/>
  <c r="J309" i="4"/>
  <c r="A309" i="5" s="1"/>
  <c r="F137" i="5"/>
  <c r="G137" i="5" s="1"/>
  <c r="J137" i="4"/>
  <c r="A137" i="5" s="1"/>
  <c r="J22" i="4"/>
  <c r="A22" i="5" s="1"/>
  <c r="F22" i="5"/>
  <c r="G22" i="5" s="1"/>
  <c r="J18" i="4"/>
  <c r="A18" i="5" s="1"/>
  <c r="F18" i="5"/>
  <c r="G18" i="5" s="1"/>
  <c r="F72" i="5"/>
  <c r="G72" i="5" s="1"/>
  <c r="J72" i="4"/>
  <c r="A72" i="5" s="1"/>
  <c r="F310" i="5"/>
  <c r="G310" i="5" s="1"/>
  <c r="J310" i="4"/>
  <c r="A310" i="5" s="1"/>
  <c r="J4" i="4"/>
  <c r="A4" i="5" s="1"/>
  <c r="F4" i="5"/>
  <c r="G4" i="5" s="1"/>
  <c r="F129" i="5"/>
  <c r="G129" i="5" s="1"/>
  <c r="J129" i="4"/>
  <c r="A129" i="5" s="1"/>
  <c r="B10" i="6"/>
  <c r="F3" i="5"/>
  <c r="G3" i="5" s="1"/>
  <c r="J3" i="4"/>
  <c r="A3" i="5" s="1"/>
  <c r="F292" i="5"/>
  <c r="G292" i="5" s="1"/>
  <c r="J292" i="4"/>
  <c r="A292" i="5" s="1"/>
  <c r="F247" i="5"/>
  <c r="G247" i="5" s="1"/>
  <c r="J247" i="4"/>
  <c r="A247" i="5" s="1"/>
  <c r="F325" i="5"/>
  <c r="G325" i="5" s="1"/>
  <c r="J325" i="4"/>
  <c r="A325" i="5" s="1"/>
  <c r="F331" i="5"/>
  <c r="G331" i="5" s="1"/>
  <c r="J331" i="4"/>
  <c r="A331" i="5" s="1"/>
  <c r="F213" i="5"/>
  <c r="G213" i="5" s="1"/>
  <c r="J213" i="4"/>
  <c r="A213" i="5" s="1"/>
  <c r="F118" i="5"/>
  <c r="G118" i="5" s="1"/>
  <c r="J118" i="4"/>
  <c r="A118" i="5" s="1"/>
  <c r="F116" i="5"/>
  <c r="G116" i="5" s="1"/>
  <c r="J116" i="4"/>
  <c r="A116" i="5" s="1"/>
  <c r="F350" i="5"/>
  <c r="G350" i="5" s="1"/>
  <c r="J350" i="4"/>
  <c r="A350" i="5" s="1"/>
  <c r="F355" i="5"/>
  <c r="G355" i="5" s="1"/>
  <c r="J355" i="4"/>
  <c r="A355" i="5" s="1"/>
  <c r="F111" i="5"/>
  <c r="G111" i="5" s="1"/>
  <c r="J111" i="4"/>
  <c r="A111" i="5" s="1"/>
  <c r="F109" i="5"/>
  <c r="G109" i="5" s="1"/>
  <c r="J109" i="4"/>
  <c r="A109" i="5" s="1"/>
  <c r="F195" i="5"/>
  <c r="G195" i="5" s="1"/>
  <c r="J195" i="4"/>
  <c r="A195" i="5" s="1"/>
  <c r="F21" i="5"/>
  <c r="G21" i="5" s="1"/>
  <c r="J21" i="4"/>
  <c r="A21" i="5" s="1"/>
  <c r="F105" i="5"/>
  <c r="G105" i="5" s="1"/>
  <c r="J105" i="4"/>
  <c r="A105" i="5" s="1"/>
  <c r="F23" i="5"/>
  <c r="G23" i="5" s="1"/>
  <c r="J23" i="4"/>
  <c r="A23" i="5" s="1"/>
  <c r="F192" i="5"/>
  <c r="G192" i="5" s="1"/>
  <c r="J192" i="4"/>
  <c r="A192" i="5" s="1"/>
  <c r="F102" i="5"/>
  <c r="G102" i="5" s="1"/>
  <c r="J102" i="4"/>
  <c r="A102" i="5" s="1"/>
  <c r="F240" i="5"/>
  <c r="G240" i="5" s="1"/>
  <c r="J240" i="4"/>
  <c r="A240" i="5" s="1"/>
  <c r="J34" i="4"/>
  <c r="A34" i="5" s="1"/>
  <c r="F34" i="5"/>
  <c r="G34" i="5" s="1"/>
  <c r="F51" i="5"/>
  <c r="G51" i="5" s="1"/>
  <c r="J51" i="4"/>
  <c r="A51" i="5" s="1"/>
  <c r="F59" i="5"/>
  <c r="G59" i="5" s="1"/>
  <c r="J59" i="4"/>
  <c r="A59" i="5" s="1"/>
  <c r="F238" i="5"/>
  <c r="G238" i="5" s="1"/>
  <c r="J238" i="4"/>
  <c r="A238" i="5" s="1"/>
  <c r="F319" i="5"/>
  <c r="G319" i="5" s="1"/>
  <c r="J319" i="4"/>
  <c r="A319" i="5" s="1"/>
  <c r="F237" i="5"/>
  <c r="G237" i="5" s="1"/>
  <c r="J237" i="4"/>
  <c r="A237" i="5" s="1"/>
  <c r="F40" i="5"/>
  <c r="G40" i="5" s="1"/>
  <c r="J40" i="4"/>
  <c r="A40" i="5" s="1"/>
  <c r="F27" i="5"/>
  <c r="G27" i="5" s="1"/>
  <c r="J27" i="4"/>
  <c r="A27" i="5" s="1"/>
  <c r="F136" i="5"/>
  <c r="G136" i="5" s="1"/>
  <c r="J136" i="4"/>
  <c r="A136" i="5" s="1"/>
  <c r="F75" i="5"/>
  <c r="G75" i="5" s="1"/>
  <c r="J75" i="4"/>
  <c r="A75" i="5" s="1"/>
  <c r="F227" i="5"/>
  <c r="G227" i="5" s="1"/>
  <c r="J227" i="4"/>
  <c r="A227" i="5" s="1"/>
  <c r="F83" i="5"/>
  <c r="G83" i="5" s="1"/>
  <c r="J83" i="4"/>
  <c r="A83" i="5" s="1"/>
  <c r="F315" i="5"/>
  <c r="G315" i="5" s="1"/>
  <c r="J315" i="4"/>
  <c r="A315" i="5" s="1"/>
  <c r="F132" i="5"/>
  <c r="G132" i="5" s="1"/>
  <c r="J132" i="4"/>
  <c r="A132" i="5" s="1"/>
  <c r="F185" i="5"/>
  <c r="G185" i="5" s="1"/>
  <c r="J185" i="4"/>
  <c r="A185" i="5" s="1"/>
  <c r="F295" i="5"/>
  <c r="G295" i="5" s="1"/>
  <c r="J295" i="4"/>
  <c r="A295" i="5" s="1"/>
  <c r="F327" i="5"/>
  <c r="G327" i="5" s="1"/>
  <c r="J327" i="4"/>
  <c r="A327" i="5" s="1"/>
  <c r="F128" i="5"/>
  <c r="G128" i="5" s="1"/>
  <c r="J128" i="4"/>
  <c r="A128" i="5" s="1"/>
  <c r="F260" i="5"/>
  <c r="G260" i="5" s="1"/>
  <c r="J260" i="4"/>
  <c r="A260" i="5" s="1"/>
  <c r="F303" i="5"/>
  <c r="G303" i="5" s="1"/>
  <c r="J303" i="4"/>
  <c r="A303" i="5" s="1"/>
  <c r="F71" i="5"/>
  <c r="G71" i="5" s="1"/>
  <c r="J71" i="4"/>
  <c r="A71" i="5" s="1"/>
  <c r="F258" i="5"/>
  <c r="G258" i="5" s="1"/>
  <c r="J258" i="4"/>
  <c r="A258" i="5" s="1"/>
  <c r="F157" i="5"/>
  <c r="G157" i="5" s="1"/>
  <c r="J157" i="4"/>
  <c r="A157" i="5" s="1"/>
  <c r="F313" i="5"/>
  <c r="G313" i="5" s="1"/>
  <c r="J313" i="4"/>
  <c r="A313" i="5" s="1"/>
  <c r="F190" i="5"/>
  <c r="G190" i="5" s="1"/>
  <c r="J190" i="4"/>
  <c r="A190" i="5" s="1"/>
  <c r="F95" i="5"/>
  <c r="G95" i="5" s="1"/>
  <c r="J95" i="4"/>
  <c r="A95" i="5" s="1"/>
  <c r="F332" i="5"/>
  <c r="G332" i="5" s="1"/>
  <c r="J332" i="4"/>
  <c r="A332" i="5" s="1"/>
  <c r="F32" i="5"/>
  <c r="G32" i="5" s="1"/>
  <c r="J32" i="4"/>
  <c r="A32" i="5" s="1"/>
  <c r="F236" i="5"/>
  <c r="G236" i="5" s="1"/>
  <c r="J236" i="4"/>
  <c r="A236" i="5" s="1"/>
  <c r="F150" i="5"/>
  <c r="G150" i="5" s="1"/>
  <c r="J150" i="4"/>
  <c r="A150" i="5" s="1"/>
  <c r="F93" i="5"/>
  <c r="G93" i="5" s="1"/>
  <c r="J93" i="4"/>
  <c r="A93" i="5" s="1"/>
  <c r="F342" i="5"/>
  <c r="G342" i="5" s="1"/>
  <c r="J342" i="4"/>
  <c r="A342" i="5" s="1"/>
  <c r="F345" i="5"/>
  <c r="G345" i="5" s="1"/>
  <c r="J345" i="4"/>
  <c r="A345" i="5" s="1"/>
  <c r="F348" i="5"/>
  <c r="G348" i="5" s="1"/>
  <c r="J348" i="4"/>
  <c r="A348" i="5" s="1"/>
  <c r="F92" i="5"/>
  <c r="G92" i="5" s="1"/>
  <c r="J92" i="4"/>
  <c r="A92" i="5" s="1"/>
  <c r="F235" i="5"/>
  <c r="G235" i="5" s="1"/>
  <c r="J235" i="4"/>
  <c r="A235" i="5" s="1"/>
  <c r="F89" i="5"/>
  <c r="G89" i="5" s="1"/>
  <c r="J89" i="4"/>
  <c r="A89" i="5" s="1"/>
  <c r="F275" i="5"/>
  <c r="G275" i="5" s="1"/>
  <c r="J275" i="4"/>
  <c r="A275" i="5" s="1"/>
  <c r="F87" i="5"/>
  <c r="G87" i="5" s="1"/>
  <c r="J87" i="4"/>
  <c r="A87" i="5" s="1"/>
  <c r="F41" i="5"/>
  <c r="G41" i="5" s="1"/>
  <c r="J41" i="4"/>
  <c r="A41" i="5" s="1"/>
  <c r="F147" i="5"/>
  <c r="G147" i="5" s="1"/>
  <c r="J147" i="4"/>
  <c r="A147" i="5" s="1"/>
  <c r="F80" i="5"/>
  <c r="G80" i="5" s="1"/>
  <c r="J80" i="4"/>
  <c r="A80" i="5" s="1"/>
  <c r="F352" i="5"/>
  <c r="G352" i="5" s="1"/>
  <c r="J352" i="4"/>
  <c r="A352" i="5" s="1"/>
  <c r="F77" i="5"/>
  <c r="G77" i="5" s="1"/>
  <c r="J77" i="4"/>
  <c r="A77" i="5" s="1"/>
  <c r="F234" i="5"/>
  <c r="G234" i="5" s="1"/>
  <c r="J234" i="4"/>
  <c r="A234" i="5" s="1"/>
  <c r="F356" i="5"/>
  <c r="G356" i="5" s="1"/>
  <c r="J356" i="4"/>
  <c r="A356" i="5" s="1"/>
  <c r="F366" i="5"/>
  <c r="G366" i="5" s="1"/>
  <c r="J366" i="4"/>
  <c r="A366" i="5" s="1"/>
  <c r="F73" i="5"/>
  <c r="G73" i="5" s="1"/>
  <c r="J73" i="4"/>
  <c r="A73" i="5" s="1"/>
  <c r="F146" i="5"/>
  <c r="G146" i="5" s="1"/>
  <c r="J146" i="4"/>
  <c r="A146" i="5" s="1"/>
  <c r="F53" i="5"/>
  <c r="G53" i="5" s="1"/>
  <c r="J53" i="4"/>
  <c r="A53" i="5" s="1"/>
  <c r="F69" i="5"/>
  <c r="G69" i="5" s="1"/>
  <c r="J69" i="4"/>
  <c r="A69" i="5" s="1"/>
  <c r="F233" i="5"/>
  <c r="G233" i="5" s="1"/>
  <c r="J233" i="4"/>
  <c r="A233" i="5" s="1"/>
  <c r="J68" i="4"/>
  <c r="A68" i="5" s="1"/>
  <c r="F68" i="5"/>
  <c r="G68" i="5" s="1"/>
  <c r="J66" i="4"/>
  <c r="A66" i="5" s="1"/>
  <c r="F66" i="5"/>
  <c r="G66" i="5" s="1"/>
  <c r="F294" i="5"/>
  <c r="G294" i="5" s="1"/>
  <c r="J294" i="4"/>
  <c r="A294" i="5" s="1"/>
  <c r="F144" i="5"/>
  <c r="G144" i="5" s="1"/>
  <c r="J144" i="4"/>
  <c r="A144" i="5" s="1"/>
  <c r="F368" i="5"/>
  <c r="G368" i="5" s="1"/>
  <c r="J368" i="4"/>
  <c r="A368" i="5" s="1"/>
  <c r="F370" i="5"/>
  <c r="G370" i="5" s="1"/>
  <c r="J370" i="4"/>
  <c r="A370" i="5" s="1"/>
  <c r="F232" i="5"/>
  <c r="G232" i="5" s="1"/>
  <c r="J232" i="4"/>
  <c r="A232" i="5" s="1"/>
  <c r="F375" i="5"/>
  <c r="G375" i="5" s="1"/>
  <c r="J375" i="4"/>
  <c r="A375" i="5" s="1"/>
  <c r="F143" i="5"/>
  <c r="G143" i="5" s="1"/>
  <c r="J143" i="4"/>
  <c r="A143" i="5" s="1"/>
  <c r="F153" i="5"/>
  <c r="G153" i="5" s="1"/>
  <c r="J153" i="4"/>
  <c r="A153" i="5" s="1"/>
  <c r="J8" i="4"/>
  <c r="A8" i="5" s="1"/>
  <c r="F8" i="5"/>
  <c r="G8" i="5" s="1"/>
  <c r="F231" i="5"/>
  <c r="G231" i="5" s="1"/>
  <c r="J231" i="4"/>
  <c r="A231" i="5" s="1"/>
  <c r="J12" i="4"/>
  <c r="A12" i="5" s="1"/>
  <c r="F12" i="5"/>
  <c r="G12" i="5" s="1"/>
  <c r="F142" i="5"/>
  <c r="G142" i="5" s="1"/>
  <c r="J142" i="4"/>
  <c r="A142" i="5" s="1"/>
  <c r="F286" i="5"/>
  <c r="G286" i="5" s="1"/>
  <c r="J286" i="4"/>
  <c r="A286" i="5" s="1"/>
  <c r="F24" i="5"/>
  <c r="G24" i="5" s="1"/>
  <c r="J24" i="4"/>
  <c r="A24" i="5" s="1"/>
  <c r="F230" i="5"/>
  <c r="G230" i="5" s="1"/>
  <c r="J230" i="4"/>
  <c r="A230" i="5" s="1"/>
  <c r="J35" i="4"/>
  <c r="A35" i="5" s="1"/>
  <c r="F35" i="5"/>
  <c r="G35" i="5" s="1"/>
  <c r="F33" i="5"/>
  <c r="G33" i="5" s="1"/>
  <c r="J33" i="4"/>
  <c r="A33" i="5" s="1"/>
  <c r="J229" i="4"/>
  <c r="A229" i="5" s="1"/>
  <c r="F229" i="5"/>
  <c r="G229" i="5" s="1"/>
  <c r="F88" i="5"/>
  <c r="G88" i="5" s="1"/>
  <c r="J88" i="4"/>
  <c r="A88" i="5" s="1"/>
  <c r="J56" i="4"/>
  <c r="A56" i="5" s="1"/>
  <c r="F56" i="5"/>
  <c r="G56" i="5" s="1"/>
  <c r="F134" i="5"/>
  <c r="G134" i="5" s="1"/>
  <c r="J134" i="4"/>
  <c r="A134" i="5" s="1"/>
  <c r="F5" i="5"/>
  <c r="G5" i="5" s="1"/>
  <c r="J5" i="4"/>
  <c r="A5" i="5" s="1"/>
  <c r="F323" i="5"/>
  <c r="G323" i="5" s="1"/>
  <c r="J323" i="4"/>
  <c r="A323" i="5" s="1"/>
  <c r="F225" i="5"/>
  <c r="G225" i="5" s="1"/>
  <c r="J225" i="4"/>
  <c r="A225" i="5" s="1"/>
  <c r="F317" i="5"/>
  <c r="G317" i="5" s="1"/>
  <c r="J317" i="4"/>
  <c r="A317" i="5" s="1"/>
  <c r="F184" i="5"/>
  <c r="G184" i="5" s="1"/>
  <c r="J184" i="4"/>
  <c r="A184" i="5" s="1"/>
  <c r="F222" i="5"/>
  <c r="G222" i="5" s="1"/>
  <c r="J222" i="4"/>
  <c r="A222" i="5" s="1"/>
  <c r="F283" i="5"/>
  <c r="G283" i="5" s="1"/>
  <c r="J283" i="4"/>
  <c r="A283" i="5" s="1"/>
  <c r="F62" i="5"/>
  <c r="G62" i="5" s="1"/>
  <c r="J62" i="4"/>
  <c r="A62" i="5" s="1"/>
  <c r="F259" i="5"/>
  <c r="G259" i="5" s="1"/>
  <c r="J259" i="4"/>
  <c r="A259" i="5" s="1"/>
  <c r="F99" i="5"/>
  <c r="G99" i="5" s="1"/>
  <c r="J99" i="4"/>
  <c r="A99" i="5" s="1"/>
  <c r="F97" i="5"/>
  <c r="G97" i="5" s="1"/>
  <c r="J97" i="4"/>
  <c r="A97" i="5" s="1"/>
  <c r="F156" i="5"/>
  <c r="G156" i="5" s="1"/>
  <c r="J156" i="4"/>
  <c r="A156" i="5" s="1"/>
  <c r="F322" i="5"/>
  <c r="G322" i="5" s="1"/>
  <c r="J322" i="4"/>
  <c r="A322" i="5" s="1"/>
  <c r="F334" i="5"/>
  <c r="G334" i="5" s="1"/>
  <c r="J334" i="4"/>
  <c r="A334" i="5" s="1"/>
  <c r="F271" i="5"/>
  <c r="G271" i="5" s="1"/>
  <c r="J271" i="4"/>
  <c r="A271" i="5" s="1"/>
  <c r="F349" i="5"/>
  <c r="G349" i="5" s="1"/>
  <c r="J349" i="4"/>
  <c r="A349" i="5" s="1"/>
  <c r="F126" i="5"/>
  <c r="G126" i="5" s="1"/>
  <c r="J126" i="4"/>
  <c r="A126" i="5" s="1"/>
  <c r="F181" i="5"/>
  <c r="G181" i="5" s="1"/>
  <c r="J181" i="4"/>
  <c r="A181" i="5" s="1"/>
  <c r="F15" i="5"/>
  <c r="G15" i="5" s="1"/>
  <c r="J15" i="4"/>
  <c r="A15" i="5" s="1"/>
  <c r="F296" i="5"/>
  <c r="G296" i="5" s="1"/>
  <c r="J296" i="4"/>
  <c r="A296" i="5" s="1"/>
  <c r="F39" i="5"/>
  <c r="G39" i="5" s="1"/>
  <c r="J39" i="4"/>
  <c r="A39" i="5" s="1"/>
  <c r="F270" i="5"/>
  <c r="G270" i="5" s="1"/>
  <c r="J270" i="4"/>
  <c r="A270" i="5" s="1"/>
  <c r="F180" i="5"/>
  <c r="G180" i="5" s="1"/>
  <c r="J180" i="4"/>
  <c r="A180" i="5" s="1"/>
  <c r="F42" i="5"/>
  <c r="G42" i="5" s="1"/>
  <c r="J42" i="4"/>
  <c r="A42" i="5" s="1"/>
  <c r="J44" i="4"/>
  <c r="A44" i="5" s="1"/>
  <c r="F44" i="5"/>
  <c r="G44" i="5" s="1"/>
  <c r="F124" i="5"/>
  <c r="G124" i="5" s="1"/>
  <c r="J124" i="4"/>
  <c r="A124" i="5" s="1"/>
  <c r="F297" i="5"/>
  <c r="G297" i="5" s="1"/>
  <c r="J297" i="4"/>
  <c r="A297" i="5" s="1"/>
  <c r="F179" i="5"/>
  <c r="G179" i="5" s="1"/>
  <c r="J179" i="4"/>
  <c r="A179" i="5" s="1"/>
  <c r="J46" i="4"/>
  <c r="A46" i="5" s="1"/>
  <c r="F46" i="5"/>
  <c r="G46" i="5" s="1"/>
  <c r="F269" i="5"/>
  <c r="G269" i="5" s="1"/>
  <c r="J269" i="4"/>
  <c r="A269" i="5" s="1"/>
  <c r="J49" i="4"/>
  <c r="A49" i="5" s="1"/>
  <c r="F49" i="5"/>
  <c r="G49" i="5" s="1"/>
  <c r="F50" i="5"/>
  <c r="G50" i="5" s="1"/>
  <c r="J50" i="4"/>
  <c r="A50" i="5" s="1"/>
  <c r="F178" i="5"/>
  <c r="G178" i="5" s="1"/>
  <c r="J178" i="4"/>
  <c r="A178" i="5" s="1"/>
  <c r="F289" i="5"/>
  <c r="G289" i="5" s="1"/>
  <c r="J289" i="4"/>
  <c r="A289" i="5" s="1"/>
  <c r="F122" i="5"/>
  <c r="G122" i="5" s="1"/>
  <c r="J122" i="4"/>
  <c r="A122" i="5" s="1"/>
  <c r="F214" i="5"/>
  <c r="G214" i="5" s="1"/>
  <c r="J214" i="4"/>
  <c r="A214" i="5" s="1"/>
  <c r="F57" i="5"/>
  <c r="G57" i="5" s="1"/>
  <c r="J57" i="4"/>
  <c r="A57" i="5" s="1"/>
  <c r="F177" i="5"/>
  <c r="G177" i="5" s="1"/>
  <c r="J177" i="4"/>
  <c r="A177" i="5" s="1"/>
  <c r="F268" i="5"/>
  <c r="G268" i="5" s="1"/>
  <c r="J268" i="4"/>
  <c r="A268" i="5" s="1"/>
  <c r="J58" i="4"/>
  <c r="A58" i="5" s="1"/>
  <c r="F58" i="5"/>
  <c r="G58" i="5" s="1"/>
  <c r="J63" i="4"/>
  <c r="A63" i="5" s="1"/>
  <c r="F63" i="5"/>
  <c r="G63" i="5" s="1"/>
  <c r="F120" i="5"/>
  <c r="G120" i="5" s="1"/>
  <c r="J120" i="4"/>
  <c r="A120" i="5" s="1"/>
  <c r="F176" i="5"/>
  <c r="G176" i="5" s="1"/>
  <c r="J176" i="4"/>
  <c r="A176" i="5" s="1"/>
  <c r="F212" i="5"/>
  <c r="G212" i="5" s="1"/>
  <c r="J212" i="4"/>
  <c r="A212" i="5" s="1"/>
  <c r="F298" i="5"/>
  <c r="G298" i="5" s="1"/>
  <c r="J298" i="4"/>
  <c r="A298" i="5" s="1"/>
  <c r="F70" i="5"/>
  <c r="G70" i="5" s="1"/>
  <c r="J70" i="4"/>
  <c r="A70" i="5" s="1"/>
  <c r="F119" i="5"/>
  <c r="G119" i="5" s="1"/>
  <c r="J119" i="4"/>
  <c r="A119" i="5" s="1"/>
  <c r="F175" i="5"/>
  <c r="G175" i="5" s="1"/>
  <c r="J175" i="4"/>
  <c r="A175" i="5" s="1"/>
  <c r="F267" i="5"/>
  <c r="G267" i="5" s="1"/>
  <c r="J267" i="4"/>
  <c r="A267" i="5" s="1"/>
  <c r="F210" i="5"/>
  <c r="G210" i="5" s="1"/>
  <c r="J210" i="4"/>
  <c r="A210" i="5" s="1"/>
  <c r="F76" i="5"/>
  <c r="G76" i="5" s="1"/>
  <c r="J76" i="4"/>
  <c r="A76" i="5" s="1"/>
  <c r="F209" i="5"/>
  <c r="G209" i="5" s="1"/>
  <c r="J209" i="4"/>
  <c r="A209" i="5" s="1"/>
  <c r="F174" i="5"/>
  <c r="G174" i="5" s="1"/>
  <c r="J174" i="4"/>
  <c r="A174" i="5" s="1"/>
  <c r="F312" i="5"/>
  <c r="G312" i="5" s="1"/>
  <c r="J312" i="4"/>
  <c r="A312" i="5" s="1"/>
  <c r="F282" i="5"/>
  <c r="G282" i="5" s="1"/>
  <c r="J282" i="4"/>
  <c r="A282" i="5" s="1"/>
  <c r="F314" i="5"/>
  <c r="G314" i="5" s="1"/>
  <c r="J314" i="4"/>
  <c r="A314" i="5" s="1"/>
  <c r="F266" i="5"/>
  <c r="G266" i="5" s="1"/>
  <c r="J266" i="4"/>
  <c r="A266" i="5" s="1"/>
  <c r="F173" i="5"/>
  <c r="G173" i="5" s="1"/>
  <c r="J173" i="4"/>
  <c r="A173" i="5" s="1"/>
  <c r="F208" i="5"/>
  <c r="G208" i="5" s="1"/>
  <c r="J208" i="4"/>
  <c r="A208" i="5" s="1"/>
  <c r="F117" i="5"/>
  <c r="G117" i="5" s="1"/>
  <c r="J117" i="4"/>
  <c r="A117" i="5" s="1"/>
  <c r="F203" i="5"/>
  <c r="G203" i="5" s="1"/>
  <c r="J203" i="4"/>
  <c r="A203" i="5" s="1"/>
  <c r="J7" i="4"/>
  <c r="A7" i="5" s="1"/>
  <c r="F7" i="5"/>
  <c r="G7" i="5" s="1"/>
  <c r="F110" i="5"/>
  <c r="G110" i="5" s="1"/>
  <c r="J110" i="4"/>
  <c r="A110" i="5" s="1"/>
  <c r="F202" i="5"/>
  <c r="G202" i="5" s="1"/>
  <c r="J202" i="4"/>
  <c r="A202" i="5" s="1"/>
  <c r="F165" i="5"/>
  <c r="G165" i="5" s="1"/>
  <c r="J165" i="4"/>
  <c r="A165" i="5" s="1"/>
  <c r="J14" i="4"/>
  <c r="A14" i="5" s="1"/>
  <c r="F14" i="5"/>
  <c r="G14" i="5" s="1"/>
  <c r="F201" i="5"/>
  <c r="G201" i="5" s="1"/>
  <c r="J201" i="4"/>
  <c r="A201" i="5" s="1"/>
  <c r="F281" i="5"/>
  <c r="G281" i="5" s="1"/>
  <c r="J281" i="4"/>
  <c r="A281" i="5" s="1"/>
  <c r="F261" i="5"/>
  <c r="G261" i="5" s="1"/>
  <c r="J261" i="4"/>
  <c r="A261" i="5" s="1"/>
  <c r="F163" i="5"/>
  <c r="G163" i="5" s="1"/>
  <c r="J163" i="4"/>
  <c r="A163" i="5" s="1"/>
  <c r="J28" i="4"/>
  <c r="A28" i="5" s="1"/>
  <c r="F28" i="5"/>
  <c r="G28" i="5" s="1"/>
  <c r="J37" i="4"/>
  <c r="A37" i="5" s="1"/>
  <c r="F37" i="5"/>
  <c r="G37" i="5" s="1"/>
  <c r="F199" i="5"/>
  <c r="G199" i="5" s="1"/>
  <c r="J199" i="4"/>
  <c r="A199" i="5" s="1"/>
  <c r="F198" i="5"/>
  <c r="G198" i="5" s="1"/>
  <c r="J198" i="4"/>
  <c r="A198" i="5" s="1"/>
  <c r="F74" i="5"/>
  <c r="G74" i="5" s="1"/>
  <c r="J74" i="4"/>
  <c r="A74" i="5" s="1"/>
  <c r="F158" i="5"/>
  <c r="G158" i="5" s="1"/>
  <c r="J158" i="4"/>
  <c r="A158" i="5" s="1"/>
  <c r="F304" i="5"/>
  <c r="G304" i="5" s="1"/>
  <c r="J304" i="4"/>
  <c r="A304" i="5" s="1"/>
  <c r="F320" i="5"/>
  <c r="G320" i="5" s="1"/>
  <c r="J320" i="4"/>
  <c r="A320" i="5" s="1"/>
  <c r="J256" i="4"/>
  <c r="A256" i="5" s="1"/>
  <c r="F256" i="5"/>
  <c r="G256" i="5" s="1"/>
  <c r="F316" i="5"/>
  <c r="G316" i="5" s="1"/>
  <c r="J316" i="4"/>
  <c r="A316" i="5" s="1"/>
  <c r="F330" i="5"/>
  <c r="G330" i="5" s="1"/>
  <c r="J330" i="4"/>
  <c r="A330" i="5" s="1"/>
  <c r="F172" i="5"/>
  <c r="G172" i="5" s="1"/>
  <c r="J172" i="4"/>
  <c r="A172" i="5" s="1"/>
  <c r="F299" i="5"/>
  <c r="G299" i="5" s="1"/>
  <c r="J299" i="4"/>
  <c r="A299" i="5" s="1"/>
  <c r="F207" i="5"/>
  <c r="G207" i="5" s="1"/>
  <c r="J207" i="4"/>
  <c r="A207" i="5" s="1"/>
  <c r="F346" i="5"/>
  <c r="G346" i="5" s="1"/>
  <c r="J346" i="4"/>
  <c r="A346" i="5" s="1"/>
  <c r="F115" i="5"/>
  <c r="G115" i="5" s="1"/>
  <c r="J115" i="4"/>
  <c r="A115" i="5" s="1"/>
  <c r="F171" i="5"/>
  <c r="G171" i="5" s="1"/>
  <c r="J171" i="4"/>
  <c r="A171" i="5" s="1"/>
  <c r="F265" i="5"/>
  <c r="G265" i="5" s="1"/>
  <c r="J265" i="4"/>
  <c r="A265" i="5" s="1"/>
  <c r="F347" i="5"/>
  <c r="G347" i="5" s="1"/>
  <c r="J347" i="4"/>
  <c r="A347" i="5" s="1"/>
  <c r="F206" i="5"/>
  <c r="G206" i="5" s="1"/>
  <c r="J206" i="4"/>
  <c r="A206" i="5" s="1"/>
  <c r="F354" i="5"/>
  <c r="G354" i="5" s="1"/>
  <c r="J354" i="4"/>
  <c r="A354" i="5" s="1"/>
  <c r="F170" i="5"/>
  <c r="G170" i="5" s="1"/>
  <c r="J170" i="4"/>
  <c r="A170" i="5" s="1"/>
  <c r="F300" i="5"/>
  <c r="G300" i="5" s="1"/>
  <c r="J300" i="4"/>
  <c r="A300" i="5" s="1"/>
  <c r="F114" i="5"/>
  <c r="G114" i="5" s="1"/>
  <c r="J114" i="4"/>
  <c r="A114" i="5" s="1"/>
  <c r="F358" i="5"/>
  <c r="G358" i="5" s="1"/>
  <c r="J358" i="4"/>
  <c r="A358" i="5" s="1"/>
  <c r="F205" i="5"/>
  <c r="G205" i="5" s="1"/>
  <c r="J205" i="4"/>
  <c r="A205" i="5" s="1"/>
  <c r="F169" i="5"/>
  <c r="G169" i="5" s="1"/>
  <c r="J169" i="4"/>
  <c r="A169" i="5" s="1"/>
  <c r="F113" i="5"/>
  <c r="G113" i="5" s="1"/>
  <c r="J113" i="4"/>
  <c r="A113" i="5" s="1"/>
  <c r="F264" i="5"/>
  <c r="G264" i="5" s="1"/>
  <c r="J264" i="4"/>
  <c r="A264" i="5" s="1"/>
  <c r="F359" i="5"/>
  <c r="G359" i="5" s="1"/>
  <c r="J359" i="4"/>
  <c r="A359" i="5" s="1"/>
  <c r="F112" i="5"/>
  <c r="G112" i="5" s="1"/>
  <c r="J112" i="4"/>
  <c r="A112" i="5" s="1"/>
  <c r="F168" i="5"/>
  <c r="G168" i="5" s="1"/>
  <c r="J168" i="4"/>
  <c r="A168" i="5" s="1"/>
  <c r="F204" i="5"/>
  <c r="G204" i="5" s="1"/>
  <c r="J204" i="4"/>
  <c r="A204" i="5" s="1"/>
  <c r="F360" i="5"/>
  <c r="G360" i="5" s="1"/>
  <c r="J360" i="4"/>
  <c r="A360" i="5" s="1"/>
  <c r="F285" i="5"/>
  <c r="G285" i="5" s="1"/>
  <c r="J285" i="4"/>
  <c r="A285" i="5" s="1"/>
  <c r="F363" i="5"/>
  <c r="G363" i="5" s="1"/>
  <c r="J363" i="4"/>
  <c r="A363" i="5" s="1"/>
  <c r="F167" i="5"/>
  <c r="G167" i="5" s="1"/>
  <c r="J167" i="4"/>
  <c r="A167" i="5" s="1"/>
  <c r="F263" i="5"/>
  <c r="G263" i="5" s="1"/>
  <c r="J263" i="4"/>
  <c r="A263" i="5" s="1"/>
  <c r="F367" i="5"/>
  <c r="G367" i="5" s="1"/>
  <c r="J367" i="4"/>
  <c r="A367" i="5" s="1"/>
  <c r="F166" i="5"/>
  <c r="G166" i="5" s="1"/>
  <c r="J166" i="4"/>
  <c r="A166" i="5" s="1"/>
  <c r="F301" i="5"/>
  <c r="G301" i="5" s="1"/>
  <c r="J301" i="4"/>
  <c r="A301" i="5" s="1"/>
  <c r="F10" i="5"/>
  <c r="G10" i="5" s="1"/>
  <c r="J10" i="4"/>
  <c r="A10" i="5" s="1"/>
  <c r="F262" i="5"/>
  <c r="G262" i="5" s="1"/>
  <c r="J262" i="4"/>
  <c r="A262" i="5" s="1"/>
  <c r="J16" i="4"/>
  <c r="A16" i="5" s="1"/>
  <c r="F16" i="5"/>
  <c r="G16" i="5" s="1"/>
  <c r="F164" i="5"/>
  <c r="G164" i="5" s="1"/>
  <c r="J164" i="4"/>
  <c r="A164" i="5" s="1"/>
  <c r="J17" i="4"/>
  <c r="A17" i="5" s="1"/>
  <c r="F17" i="5"/>
  <c r="G17" i="5" s="1"/>
  <c r="F25" i="5"/>
  <c r="G25" i="5" s="1"/>
  <c r="J25" i="4"/>
  <c r="A25" i="5" s="1"/>
  <c r="F200" i="5"/>
  <c r="G200" i="5" s="1"/>
  <c r="J200" i="4"/>
  <c r="A200" i="5" s="1"/>
  <c r="F302" i="5"/>
  <c r="G302" i="5" s="1"/>
  <c r="J302" i="4"/>
  <c r="A302" i="5" s="1"/>
  <c r="F162" i="5"/>
  <c r="G162" i="5" s="1"/>
  <c r="J162" i="4"/>
  <c r="A162" i="5" s="1"/>
  <c r="F104" i="5"/>
  <c r="G104" i="5" s="1"/>
  <c r="J104" i="4"/>
  <c r="A104" i="5" s="1"/>
  <c r="F197" i="5"/>
  <c r="G197" i="5" s="1"/>
  <c r="J197" i="4"/>
  <c r="A197" i="5" s="1"/>
  <c r="F81" i="5"/>
  <c r="G81" i="5" s="1"/>
  <c r="J81" i="4"/>
  <c r="A81" i="5" s="1"/>
  <c r="F91" i="5"/>
  <c r="G91" i="5" s="1"/>
  <c r="J91" i="4"/>
  <c r="A91" i="5" s="1"/>
  <c r="F193" i="5"/>
  <c r="G193" i="5" s="1"/>
  <c r="J193" i="4"/>
  <c r="A193" i="5" s="1"/>
  <c r="F155" i="5"/>
  <c r="G155" i="5" s="1"/>
  <c r="J155" i="4"/>
  <c r="A155" i="5" s="1"/>
  <c r="H216" i="5" l="1"/>
  <c r="I216" i="5"/>
  <c r="H187" i="5"/>
  <c r="I187" i="5"/>
  <c r="H306" i="5"/>
  <c r="I306" i="5"/>
  <c r="H254" i="5"/>
  <c r="I254" i="5" s="1"/>
  <c r="H353" i="5"/>
  <c r="I353" i="5"/>
  <c r="H148" i="5"/>
  <c r="I148" i="5"/>
  <c r="H61" i="5"/>
  <c r="I61" i="5"/>
  <c r="H307" i="5"/>
  <c r="I307" i="5" s="1"/>
  <c r="H252" i="5"/>
  <c r="I252" i="5"/>
  <c r="H279" i="5"/>
  <c r="I279" i="5"/>
  <c r="H374" i="5"/>
  <c r="I374" i="5"/>
  <c r="H140" i="5"/>
  <c r="I140" i="5"/>
  <c r="H336" i="5"/>
  <c r="I336" i="5"/>
  <c r="H305" i="5"/>
  <c r="I305" i="5"/>
  <c r="H31" i="5"/>
  <c r="I31" i="5" s="1"/>
  <c r="H249" i="5"/>
  <c r="I249" i="5"/>
  <c r="H223" i="5"/>
  <c r="I223" i="5"/>
  <c r="H135" i="5"/>
  <c r="I135" i="5"/>
  <c r="H85" i="5"/>
  <c r="I85" i="5"/>
  <c r="H220" i="5"/>
  <c r="I220" i="5"/>
  <c r="H130" i="5"/>
  <c r="I130" i="5"/>
  <c r="H338" i="5"/>
  <c r="I338" i="5"/>
  <c r="H248" i="5"/>
  <c r="I248" i="5" s="1"/>
  <c r="H127" i="5"/>
  <c r="I127" i="5" s="1"/>
  <c r="C24" i="6" s="1"/>
  <c r="H215" i="5"/>
  <c r="I215" i="5"/>
  <c r="H326" i="5"/>
  <c r="I326" i="5"/>
  <c r="H246" i="5"/>
  <c r="I246" i="5"/>
  <c r="H335" i="5"/>
  <c r="I335" i="5"/>
  <c r="H245" i="5"/>
  <c r="I245" i="5" s="1"/>
  <c r="H211" i="5"/>
  <c r="I211" i="5"/>
  <c r="H244" i="5"/>
  <c r="I244" i="5"/>
  <c r="H361" i="5"/>
  <c r="I361" i="5"/>
  <c r="H243" i="5"/>
  <c r="I243" i="5"/>
  <c r="H196" i="5"/>
  <c r="I196" i="5"/>
  <c r="H108" i="5"/>
  <c r="I108" i="5" s="1"/>
  <c r="H107" i="5"/>
  <c r="I107" i="5" s="1"/>
  <c r="H106" i="5"/>
  <c r="I106" i="5"/>
  <c r="H276" i="5"/>
  <c r="I276" i="5"/>
  <c r="H241" i="5"/>
  <c r="I241" i="5"/>
  <c r="H6" i="5"/>
  <c r="I6" i="5"/>
  <c r="H26" i="5"/>
  <c r="I26" i="5"/>
  <c r="H191" i="5"/>
  <c r="I191" i="5"/>
  <c r="H100" i="5"/>
  <c r="I100" i="5"/>
  <c r="H54" i="5"/>
  <c r="I54" i="5"/>
  <c r="H188" i="5"/>
  <c r="I188" i="5"/>
  <c r="H78" i="5"/>
  <c r="I78" i="5"/>
  <c r="H96" i="5"/>
  <c r="I96" i="5" s="1"/>
  <c r="C23" i="6" s="1"/>
  <c r="H151" i="5"/>
  <c r="I151" i="5"/>
  <c r="H55" i="5"/>
  <c r="I55" i="5"/>
  <c r="H67" i="5"/>
  <c r="I67" i="5"/>
  <c r="H287" i="5"/>
  <c r="I287" i="5"/>
  <c r="H13" i="5"/>
  <c r="I13" i="5"/>
  <c r="H9" i="5"/>
  <c r="I9" i="5"/>
  <c r="B9" i="6" s="1"/>
  <c r="H226" i="5"/>
  <c r="I226" i="5"/>
  <c r="H186" i="5"/>
  <c r="I186" i="5"/>
  <c r="H131" i="5"/>
  <c r="I131" i="5"/>
  <c r="H224" i="5"/>
  <c r="I224" i="5"/>
  <c r="H272" i="5"/>
  <c r="I272" i="5"/>
  <c r="H333" i="5"/>
  <c r="I333" i="5"/>
  <c r="H182" i="5"/>
  <c r="I182" i="5"/>
  <c r="H161" i="5"/>
  <c r="I161" i="5"/>
  <c r="C16" i="6" s="1"/>
  <c r="H160" i="5"/>
  <c r="I160" i="5"/>
  <c r="H290" i="5"/>
  <c r="I290" i="5"/>
  <c r="H84" i="5"/>
  <c r="I84" i="5"/>
  <c r="H311" i="5"/>
  <c r="I311" i="5"/>
  <c r="H280" i="5"/>
  <c r="I280" i="5" s="1"/>
  <c r="H255" i="5"/>
  <c r="I255" i="5"/>
  <c r="H340" i="5"/>
  <c r="I340" i="5"/>
  <c r="H79" i="5"/>
  <c r="I79" i="5"/>
  <c r="H149" i="5"/>
  <c r="I149" i="5" s="1"/>
  <c r="H291" i="5"/>
  <c r="I291" i="5"/>
  <c r="H253" i="5"/>
  <c r="I253" i="5"/>
  <c r="H60" i="5"/>
  <c r="I60" i="5" s="1"/>
  <c r="H365" i="5"/>
  <c r="I365" i="5"/>
  <c r="H369" i="5"/>
  <c r="I369" i="5" s="1"/>
  <c r="H373" i="5"/>
  <c r="I373" i="5"/>
  <c r="H141" i="5"/>
  <c r="I141" i="5"/>
  <c r="H189" i="5"/>
  <c r="I189" i="5"/>
  <c r="H139" i="5"/>
  <c r="I139" i="5"/>
  <c r="H138" i="5"/>
  <c r="I138" i="5"/>
  <c r="H30" i="5"/>
  <c r="I30" i="5"/>
  <c r="H288" i="5"/>
  <c r="I288" i="5"/>
  <c r="H47" i="5"/>
  <c r="I47" i="5"/>
  <c r="H52" i="5"/>
  <c r="I52" i="5"/>
  <c r="H318" i="5"/>
  <c r="I318" i="5"/>
  <c r="H278" i="5"/>
  <c r="I278" i="5"/>
  <c r="H219" i="5"/>
  <c r="I219" i="5" s="1"/>
  <c r="H218" i="5"/>
  <c r="I218" i="5"/>
  <c r="H217" i="5"/>
  <c r="I217" i="5"/>
  <c r="H125" i="5"/>
  <c r="I125" i="5"/>
  <c r="H123" i="5"/>
  <c r="I123" i="5"/>
  <c r="H121" i="5"/>
  <c r="I121" i="5"/>
  <c r="H277" i="5"/>
  <c r="I277" i="5" s="1"/>
  <c r="H337" i="5"/>
  <c r="I337" i="5"/>
  <c r="H11" i="5"/>
  <c r="I11" i="5"/>
  <c r="H344" i="5"/>
  <c r="I344" i="5"/>
  <c r="H351" i="5"/>
  <c r="I351" i="5" s="1"/>
  <c r="H372" i="5"/>
  <c r="I372" i="5"/>
  <c r="H19" i="5"/>
  <c r="I19" i="5"/>
  <c r="H284" i="5"/>
  <c r="I284" i="5"/>
  <c r="H242" i="5"/>
  <c r="I242" i="5" s="1"/>
  <c r="C21" i="6" s="1"/>
  <c r="H194" i="5"/>
  <c r="I194" i="5"/>
  <c r="H38" i="5"/>
  <c r="I38" i="5"/>
  <c r="H103" i="5"/>
  <c r="I103" i="5"/>
  <c r="H20" i="5"/>
  <c r="I20" i="5"/>
  <c r="H101" i="5"/>
  <c r="I101" i="5"/>
  <c r="H36" i="5"/>
  <c r="I36" i="5"/>
  <c r="H239" i="5"/>
  <c r="I239" i="5"/>
  <c r="H29" i="5"/>
  <c r="I29" i="5"/>
  <c r="H64" i="5"/>
  <c r="I64" i="5"/>
  <c r="H152" i="5"/>
  <c r="I152" i="5"/>
  <c r="H293" i="5"/>
  <c r="I293" i="5"/>
  <c r="H43" i="5"/>
  <c r="I43" i="5"/>
  <c r="H274" i="5"/>
  <c r="I274" i="5" s="1"/>
  <c r="H228" i="5"/>
  <c r="I228" i="5" s="1"/>
  <c r="H90" i="5"/>
  <c r="I90" i="5"/>
  <c r="H82" i="5"/>
  <c r="I82" i="5"/>
  <c r="H133" i="5"/>
  <c r="I133" i="5" s="1"/>
  <c r="H328" i="5"/>
  <c r="I328" i="5"/>
  <c r="H273" i="5"/>
  <c r="I273" i="5"/>
  <c r="H321" i="5"/>
  <c r="I321" i="5" s="1"/>
  <c r="H324" i="5"/>
  <c r="I324" i="5" s="1"/>
  <c r="H183" i="5"/>
  <c r="I183" i="5"/>
  <c r="H221" i="5"/>
  <c r="I221" i="5"/>
  <c r="H48" i="5"/>
  <c r="I48" i="5"/>
  <c r="H65" i="5"/>
  <c r="I65" i="5"/>
  <c r="H159" i="5"/>
  <c r="I159" i="5"/>
  <c r="H98" i="5"/>
  <c r="I98" i="5"/>
  <c r="H257" i="5"/>
  <c r="I257" i="5"/>
  <c r="H94" i="5"/>
  <c r="I94" i="5"/>
  <c r="H86" i="5"/>
  <c r="I86" i="5" s="1"/>
  <c r="H339" i="5"/>
  <c r="I339" i="5" s="1"/>
  <c r="H341" i="5"/>
  <c r="I341" i="5"/>
  <c r="H343" i="5"/>
  <c r="I343" i="5"/>
  <c r="H357" i="5"/>
  <c r="I357" i="5" s="1"/>
  <c r="H362" i="5"/>
  <c r="I362" i="5"/>
  <c r="H364" i="5"/>
  <c r="I364" i="5"/>
  <c r="H145" i="5"/>
  <c r="I145" i="5"/>
  <c r="H371" i="5"/>
  <c r="I371" i="5"/>
  <c r="H251" i="5"/>
  <c r="I251" i="5"/>
  <c r="H45" i="5"/>
  <c r="I45" i="5"/>
  <c r="H308" i="5"/>
  <c r="I308" i="5"/>
  <c r="H250" i="5"/>
  <c r="I250" i="5"/>
  <c r="H309" i="5"/>
  <c r="I309" i="5"/>
  <c r="H137" i="5"/>
  <c r="I137" i="5"/>
  <c r="H22" i="5"/>
  <c r="I22" i="5"/>
  <c r="H18" i="5"/>
  <c r="I18" i="5"/>
  <c r="H72" i="5"/>
  <c r="I72" i="5"/>
  <c r="H310" i="5"/>
  <c r="I310" i="5"/>
  <c r="H4" i="5"/>
  <c r="I4" i="5"/>
  <c r="H129" i="5"/>
  <c r="I129" i="5"/>
  <c r="H3" i="5"/>
  <c r="I3" i="5"/>
  <c r="G376" i="5"/>
  <c r="B5" i="6"/>
  <c r="B17" i="6"/>
  <c r="B18" i="6"/>
  <c r="B19" i="6"/>
  <c r="B20" i="6"/>
  <c r="B21" i="6"/>
  <c r="A22" i="6"/>
  <c r="C22" i="6"/>
  <c r="A25" i="6"/>
  <c r="B16" i="6"/>
  <c r="C18" i="6"/>
  <c r="C19" i="6"/>
  <c r="C25" i="6"/>
  <c r="A23" i="6"/>
  <c r="B23" i="6"/>
  <c r="A16" i="6"/>
  <c r="A17" i="6"/>
  <c r="A18" i="6"/>
  <c r="A19" i="6"/>
  <c r="A20" i="6"/>
  <c r="A21" i="6"/>
  <c r="B22" i="6"/>
  <c r="A24" i="6"/>
  <c r="B25" i="6"/>
  <c r="B24" i="6"/>
  <c r="H292" i="5"/>
  <c r="I292" i="5" s="1"/>
  <c r="H247" i="5"/>
  <c r="I247" i="5"/>
  <c r="H325" i="5"/>
  <c r="I325" i="5"/>
  <c r="H331" i="5"/>
  <c r="I331" i="5"/>
  <c r="H213" i="5"/>
  <c r="I213" i="5" s="1"/>
  <c r="H118" i="5"/>
  <c r="I118" i="5"/>
  <c r="H116" i="5"/>
  <c r="I116" i="5"/>
  <c r="H350" i="5"/>
  <c r="I350" i="5"/>
  <c r="H355" i="5"/>
  <c r="I355" i="5"/>
  <c r="H111" i="5"/>
  <c r="I111" i="5" s="1"/>
  <c r="H109" i="5"/>
  <c r="I109" i="5"/>
  <c r="H195" i="5"/>
  <c r="I195" i="5"/>
  <c r="H21" i="5"/>
  <c r="I21" i="5"/>
  <c r="H105" i="5"/>
  <c r="I105" i="5" s="1"/>
  <c r="H23" i="5"/>
  <c r="I23" i="5"/>
  <c r="H192" i="5"/>
  <c r="I192" i="5"/>
  <c r="H102" i="5"/>
  <c r="I102" i="5"/>
  <c r="H240" i="5"/>
  <c r="I240" i="5"/>
  <c r="H34" i="5"/>
  <c r="I34" i="5"/>
  <c r="H51" i="5"/>
  <c r="I51" i="5"/>
  <c r="H59" i="5"/>
  <c r="I59" i="5"/>
  <c r="H238" i="5"/>
  <c r="I238" i="5"/>
  <c r="H319" i="5"/>
  <c r="I319" i="5"/>
  <c r="H237" i="5"/>
  <c r="I237" i="5"/>
  <c r="H40" i="5"/>
  <c r="I40" i="5"/>
  <c r="H27" i="5"/>
  <c r="I27" i="5"/>
  <c r="H136" i="5"/>
  <c r="I136" i="5" s="1"/>
  <c r="H75" i="5"/>
  <c r="I75" i="5" s="1"/>
  <c r="H227" i="5"/>
  <c r="I227" i="5"/>
  <c r="H83" i="5"/>
  <c r="I83" i="5"/>
  <c r="H315" i="5"/>
  <c r="I315" i="5"/>
  <c r="H132" i="5"/>
  <c r="I132" i="5"/>
  <c r="H185" i="5"/>
  <c r="I185" i="5"/>
  <c r="H295" i="5"/>
  <c r="I295" i="5" s="1"/>
  <c r="H327" i="5"/>
  <c r="I327" i="5" s="1"/>
  <c r="H128" i="5"/>
  <c r="I128" i="5"/>
  <c r="H260" i="5"/>
  <c r="I260" i="5" s="1"/>
  <c r="H303" i="5"/>
  <c r="I303" i="5"/>
  <c r="H71" i="5"/>
  <c r="I71" i="5"/>
  <c r="H258" i="5"/>
  <c r="I258" i="5"/>
  <c r="H157" i="5"/>
  <c r="I157" i="5"/>
  <c r="H313" i="5"/>
  <c r="I313" i="5" s="1"/>
  <c r="H190" i="5"/>
  <c r="I190" i="5" s="1"/>
  <c r="C17" i="6" s="1"/>
  <c r="H95" i="5"/>
  <c r="I95" i="5"/>
  <c r="H332" i="5"/>
  <c r="I332" i="5"/>
  <c r="H32" i="5"/>
  <c r="I32" i="5"/>
  <c r="H236" i="5"/>
  <c r="I236" i="5" s="1"/>
  <c r="H150" i="5"/>
  <c r="I150" i="5"/>
  <c r="H93" i="5"/>
  <c r="I93" i="5"/>
  <c r="H342" i="5"/>
  <c r="I342" i="5"/>
  <c r="H345" i="5"/>
  <c r="I345" i="5"/>
  <c r="H348" i="5"/>
  <c r="I348" i="5"/>
  <c r="H92" i="5"/>
  <c r="I92" i="5"/>
  <c r="H235" i="5"/>
  <c r="I235" i="5"/>
  <c r="H89" i="5"/>
  <c r="I89" i="5"/>
  <c r="H275" i="5"/>
  <c r="I275" i="5"/>
  <c r="H87" i="5"/>
  <c r="I87" i="5"/>
  <c r="H41" i="5"/>
  <c r="I41" i="5"/>
  <c r="H147" i="5"/>
  <c r="I147" i="5"/>
  <c r="H80" i="5"/>
  <c r="I80" i="5"/>
  <c r="H352" i="5"/>
  <c r="I352" i="5"/>
  <c r="H77" i="5"/>
  <c r="I77" i="5"/>
  <c r="H234" i="5"/>
  <c r="I234" i="5"/>
  <c r="H356" i="5"/>
  <c r="I356" i="5"/>
  <c r="H366" i="5"/>
  <c r="I366" i="5"/>
  <c r="H73" i="5"/>
  <c r="I73" i="5"/>
  <c r="H146" i="5"/>
  <c r="I146" i="5"/>
  <c r="H53" i="5"/>
  <c r="I53" i="5"/>
  <c r="H69" i="5"/>
  <c r="I69" i="5"/>
  <c r="H233" i="5"/>
  <c r="I233" i="5"/>
  <c r="H68" i="5"/>
  <c r="I68" i="5"/>
  <c r="H66" i="5"/>
  <c r="I66" i="5"/>
  <c r="H294" i="5"/>
  <c r="I294" i="5"/>
  <c r="H144" i="5"/>
  <c r="I144" i="5"/>
  <c r="H368" i="5"/>
  <c r="I368" i="5"/>
  <c r="H370" i="5"/>
  <c r="I370" i="5"/>
  <c r="H232" i="5"/>
  <c r="I232" i="5"/>
  <c r="H375" i="5"/>
  <c r="I375" i="5"/>
  <c r="H143" i="5"/>
  <c r="I143" i="5"/>
  <c r="H153" i="5"/>
  <c r="I153" i="5"/>
  <c r="H8" i="5"/>
  <c r="I8" i="5"/>
  <c r="H231" i="5"/>
  <c r="I231" i="5"/>
  <c r="H12" i="5"/>
  <c r="I12" i="5"/>
  <c r="H142" i="5"/>
  <c r="I142" i="5"/>
  <c r="H286" i="5"/>
  <c r="I286" i="5" s="1"/>
  <c r="H24" i="5"/>
  <c r="I24" i="5"/>
  <c r="H230" i="5"/>
  <c r="I230" i="5"/>
  <c r="H35" i="5"/>
  <c r="I35" i="5"/>
  <c r="H33" i="5"/>
  <c r="I33" i="5"/>
  <c r="H229" i="5"/>
  <c r="I229" i="5"/>
  <c r="H88" i="5"/>
  <c r="I88" i="5"/>
  <c r="H56" i="5"/>
  <c r="I56" i="5"/>
  <c r="H134" i="5"/>
  <c r="I134" i="5"/>
  <c r="H5" i="5"/>
  <c r="I5" i="5" s="1"/>
  <c r="H323" i="5"/>
  <c r="I323" i="5"/>
  <c r="H225" i="5"/>
  <c r="I225" i="5"/>
  <c r="H317" i="5"/>
  <c r="I317" i="5"/>
  <c r="H184" i="5"/>
  <c r="I184" i="5" s="1"/>
  <c r="H222" i="5"/>
  <c r="I222" i="5"/>
  <c r="H283" i="5"/>
  <c r="I283" i="5"/>
  <c r="H62" i="5"/>
  <c r="I62" i="5"/>
  <c r="H259" i="5"/>
  <c r="I259" i="5"/>
  <c r="H99" i="5"/>
  <c r="I99" i="5"/>
  <c r="H97" i="5"/>
  <c r="I97" i="5"/>
  <c r="H156" i="5"/>
  <c r="I156" i="5"/>
  <c r="H322" i="5"/>
  <c r="I322" i="5"/>
  <c r="H334" i="5"/>
  <c r="I334" i="5"/>
  <c r="H271" i="5"/>
  <c r="I271" i="5" s="1"/>
  <c r="H349" i="5"/>
  <c r="I349" i="5"/>
  <c r="H126" i="5"/>
  <c r="I126" i="5"/>
  <c r="H181" i="5"/>
  <c r="I181" i="5"/>
  <c r="H15" i="5"/>
  <c r="I15" i="5"/>
  <c r="H296" i="5"/>
  <c r="I296" i="5"/>
  <c r="H39" i="5"/>
  <c r="I39" i="5"/>
  <c r="H270" i="5"/>
  <c r="I270" i="5"/>
  <c r="H180" i="5"/>
  <c r="I180" i="5"/>
  <c r="H42" i="5"/>
  <c r="I42" i="5"/>
  <c r="H44" i="5"/>
  <c r="I44" i="5"/>
  <c r="H124" i="5"/>
  <c r="I124" i="5" s="1"/>
  <c r="H297" i="5"/>
  <c r="I297" i="5"/>
  <c r="H179" i="5"/>
  <c r="I179" i="5"/>
  <c r="H46" i="5"/>
  <c r="I46" i="5"/>
  <c r="H269" i="5"/>
  <c r="I269" i="5"/>
  <c r="H49" i="5"/>
  <c r="I49" i="5"/>
  <c r="H50" i="5"/>
  <c r="I50" i="5"/>
  <c r="H178" i="5"/>
  <c r="I178" i="5"/>
  <c r="H289" i="5"/>
  <c r="I289" i="5"/>
  <c r="H122" i="5"/>
  <c r="I122" i="5"/>
  <c r="H214" i="5"/>
  <c r="I214" i="5"/>
  <c r="H57" i="5"/>
  <c r="I57" i="5"/>
  <c r="H177" i="5"/>
  <c r="I177" i="5"/>
  <c r="H268" i="5"/>
  <c r="I268" i="5"/>
  <c r="H58" i="5"/>
  <c r="I58" i="5"/>
  <c r="H63" i="5"/>
  <c r="I63" i="5"/>
  <c r="H120" i="5"/>
  <c r="I120" i="5"/>
  <c r="H176" i="5"/>
  <c r="I176" i="5"/>
  <c r="H212" i="5"/>
  <c r="I212" i="5"/>
  <c r="H298" i="5"/>
  <c r="I298" i="5"/>
  <c r="H70" i="5"/>
  <c r="I70" i="5"/>
  <c r="H119" i="5"/>
  <c r="I119" i="5"/>
  <c r="H175" i="5"/>
  <c r="I175" i="5"/>
  <c r="H267" i="5"/>
  <c r="I267" i="5"/>
  <c r="H210" i="5"/>
  <c r="I210" i="5"/>
  <c r="H76" i="5"/>
  <c r="I76" i="5"/>
  <c r="H209" i="5"/>
  <c r="I209" i="5"/>
  <c r="H174" i="5"/>
  <c r="I174" i="5"/>
  <c r="H312" i="5"/>
  <c r="I312" i="5"/>
  <c r="H282" i="5"/>
  <c r="I282" i="5"/>
  <c r="H314" i="5"/>
  <c r="I314" i="5"/>
  <c r="H266" i="5"/>
  <c r="I266" i="5"/>
  <c r="H173" i="5"/>
  <c r="I173" i="5"/>
  <c r="H208" i="5"/>
  <c r="I208" i="5"/>
  <c r="H117" i="5"/>
  <c r="I117" i="5"/>
  <c r="H203" i="5"/>
  <c r="I203" i="5"/>
  <c r="H7" i="5"/>
  <c r="I7" i="5"/>
  <c r="H110" i="5"/>
  <c r="I110" i="5"/>
  <c r="H202" i="5"/>
  <c r="I202" i="5"/>
  <c r="H165" i="5"/>
  <c r="I165" i="5"/>
  <c r="H14" i="5"/>
  <c r="I14" i="5"/>
  <c r="H201" i="5"/>
  <c r="I201" i="5"/>
  <c r="H281" i="5"/>
  <c r="I281" i="5"/>
  <c r="H261" i="5"/>
  <c r="I261" i="5"/>
  <c r="H163" i="5"/>
  <c r="I163" i="5"/>
  <c r="H28" i="5"/>
  <c r="I28" i="5"/>
  <c r="H37" i="5"/>
  <c r="I37" i="5"/>
  <c r="H199" i="5"/>
  <c r="I199" i="5"/>
  <c r="H198" i="5"/>
  <c r="I198" i="5"/>
  <c r="H74" i="5"/>
  <c r="I74" i="5"/>
  <c r="H158" i="5"/>
  <c r="I158" i="5"/>
  <c r="H304" i="5"/>
  <c r="I304" i="5" s="1"/>
  <c r="H320" i="5"/>
  <c r="I320" i="5"/>
  <c r="H256" i="5"/>
  <c r="I256" i="5"/>
  <c r="H316" i="5"/>
  <c r="I316" i="5"/>
  <c r="H330" i="5"/>
  <c r="I330" i="5"/>
  <c r="H172" i="5"/>
  <c r="I172" i="5"/>
  <c r="H299" i="5"/>
  <c r="I299" i="5"/>
  <c r="H207" i="5"/>
  <c r="I207" i="5"/>
  <c r="H346" i="5"/>
  <c r="I346" i="5"/>
  <c r="H115" i="5"/>
  <c r="I115" i="5"/>
  <c r="H171" i="5"/>
  <c r="I171" i="5"/>
  <c r="H265" i="5"/>
  <c r="I265" i="5"/>
  <c r="H347" i="5"/>
  <c r="I347" i="5"/>
  <c r="H206" i="5"/>
  <c r="I206" i="5"/>
  <c r="H354" i="5"/>
  <c r="I354" i="5"/>
  <c r="H170" i="5"/>
  <c r="I170" i="5"/>
  <c r="H300" i="5"/>
  <c r="I300" i="5"/>
  <c r="H114" i="5"/>
  <c r="I114" i="5"/>
  <c r="H358" i="5"/>
  <c r="I358" i="5"/>
  <c r="H205" i="5"/>
  <c r="I205" i="5"/>
  <c r="H169" i="5"/>
  <c r="I169" i="5"/>
  <c r="H113" i="5"/>
  <c r="I113" i="5"/>
  <c r="H264" i="5"/>
  <c r="I264" i="5"/>
  <c r="H359" i="5"/>
  <c r="I359" i="5"/>
  <c r="H112" i="5"/>
  <c r="I112" i="5"/>
  <c r="H168" i="5"/>
  <c r="I168" i="5"/>
  <c r="H204" i="5"/>
  <c r="I204" i="5"/>
  <c r="H360" i="5"/>
  <c r="I360" i="5"/>
  <c r="H285" i="5"/>
  <c r="I285" i="5"/>
  <c r="H363" i="5"/>
  <c r="I363" i="5" s="1"/>
  <c r="H167" i="5"/>
  <c r="I167" i="5"/>
  <c r="H263" i="5"/>
  <c r="I263" i="5"/>
  <c r="H367" i="5"/>
  <c r="I367" i="5"/>
  <c r="H166" i="5"/>
  <c r="I166" i="5"/>
  <c r="H301" i="5"/>
  <c r="I301" i="5" s="1"/>
  <c r="H10" i="5"/>
  <c r="I10" i="5"/>
  <c r="H262" i="5"/>
  <c r="I262" i="5"/>
  <c r="H16" i="5"/>
  <c r="I16" i="5"/>
  <c r="H164" i="5"/>
  <c r="I164" i="5"/>
  <c r="H17" i="5"/>
  <c r="I17" i="5"/>
  <c r="H25" i="5"/>
  <c r="I25" i="5"/>
  <c r="H200" i="5"/>
  <c r="I200" i="5"/>
  <c r="H302" i="5"/>
  <c r="I302" i="5"/>
  <c r="H162" i="5"/>
  <c r="I162" i="5"/>
  <c r="H104" i="5"/>
  <c r="I104" i="5"/>
  <c r="H197" i="5"/>
  <c r="I197" i="5"/>
  <c r="H81" i="5"/>
  <c r="I81" i="5" s="1"/>
  <c r="H91" i="5"/>
  <c r="I91" i="5"/>
  <c r="H193" i="5"/>
  <c r="I193" i="5"/>
  <c r="H155" i="5"/>
  <c r="I155" i="5" s="1"/>
  <c r="C20" i="6" s="1"/>
  <c r="B7" i="6" l="1"/>
  <c r="I376" i="5"/>
  <c r="B8" i="6"/>
</calcChain>
</file>

<file path=xl/sharedStrings.xml><?xml version="1.0" encoding="utf-8"?>
<sst xmlns="http://schemas.openxmlformats.org/spreadsheetml/2006/main" count="1208" uniqueCount="242">
  <si>
    <t>SPK PEMILIHAN KARYAWAN BERPRESTASI — Metode Weighted Product (WP)</t>
  </si>
  <si>
    <t>Pengaturan Bobot Kriteria &amp; Parameter Kebijakan Bonus</t>
  </si>
  <si>
    <t>KONFIGURASI BOBOT KRITERIA</t>
  </si>
  <si>
    <t>Kriteria</t>
  </si>
  <si>
    <t>Tipe</t>
  </si>
  <si>
    <t>Bobot Input (1–5)</t>
  </si>
  <si>
    <t>Bobot Ternormalisasi</t>
  </si>
  <si>
    <t>Pangkat WP</t>
  </si>
  <si>
    <t>Umur</t>
  </si>
  <si>
    <t>Benefit</t>
  </si>
  <si>
    <t>Tingkat Pendidikan</t>
  </si>
  <si>
    <t>Pengalaman Kerja</t>
  </si>
  <si>
    <t>Gaji</t>
  </si>
  <si>
    <t>Cost</t>
  </si>
  <si>
    <t>Gender</t>
  </si>
  <si>
    <t>KEBIJAKAN BONUS</t>
  </si>
  <si>
    <t>Ambang Batas Skor Vektor V</t>
  </si>
  <si>
    <t>Total Anggaran Bonus ($)</t>
  </si>
  <si>
    <t>DATA KARYAWAN (salary_data.csv)</t>
  </si>
  <si>
    <t>Age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</si>
  <si>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</si>
  <si>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</si>
  <si>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</si>
  <si>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</si>
  <si>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</si>
  <si>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</si>
  <si>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</si>
  <si>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</si>
  <si>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</si>
  <si>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</si>
  <si>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</si>
  <si>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</si>
  <si>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</si>
  <si>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</si>
  <si>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</si>
  <si>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</si>
  <si>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</si>
  <si>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</si>
  <si>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</si>
  <si>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</si>
  <si>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</si>
  <si>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</si>
  <si>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</si>
  <si>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</si>
  <si>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</si>
  <si>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</si>
  <si>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</si>
  <si>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</si>
  <si>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</si>
  <si>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</si>
  <si>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</si>
  <si>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</si>
  <si>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</si>
  <si>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</si>
  <si>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</si>
  <si>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</si>
  <si>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</si>
  <si>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</si>
  <si>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</si>
  <si>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</si>
  <si>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</si>
  <si>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</si>
  <si>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</si>
  <si>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</si>
  <si>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</si>
  <si>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</si>
  <si>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</si>
  <si>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</si>
  <si>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</si>
  <si>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</si>
  <si>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</si>
  <si>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</si>
  <si>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</si>
  <si>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</si>
  <si>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</si>
  <si>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</si>
  <si>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</si>
  <si>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</si>
  <si>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</si>
  <si>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</si>
  <si>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</si>
  <si>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</si>
  <si>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</si>
  <si>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</si>
  <si>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</si>
  <si>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</si>
  <si>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</si>
  <si>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</si>
  <si>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</si>
  <si>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</si>
  <si>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</si>
  <si>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</si>
  <si>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</si>
  <si>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</si>
  <si>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</si>
  <si>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</si>
  <si>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</si>
  <si>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</si>
  <si>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</si>
  <si>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</si>
  <si>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</si>
  <si>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</si>
  <si>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</si>
  <si>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</si>
  <si>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</si>
  <si>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</si>
  <si>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</si>
  <si>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</si>
  <si>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</si>
  <si>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</si>
  <si>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</si>
  <si>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</si>
  <si>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</si>
  <si>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</si>
  <si>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</si>
  <si>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</si>
  <si>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</si>
  <si>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</si>
  <si>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</si>
  <si>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</si>
  <si>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</si>
  <si>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</si>
  <si>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</si>
  <si>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</si>
  <si>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</si>
  <si>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</si>
  <si>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</si>
  <si>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</si>
  <si>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</si>
  <si>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</si>
  <si>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</si>
  <si>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</si>
  <si>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</si>
  <si>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</si>
  <si>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</si>
  <si>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</si>
  <si>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</si>
  <si>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</si>
  <si>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</si>
  <si>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</si>
  <si>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</si>
  <si>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</si>
  <si>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</si>
  <si>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</si>
  <si>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</si>
  <si>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</si>
  <si>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</si>
  <si>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</si>
  <si>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</si>
  <si>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</si>
  <si>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</si>
  <si>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</si>
  <si>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</si>
  <si>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</si>
  <si>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</si>
  <si>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</si>
  <si>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</si>
  <si>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</si>
  <si>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</si>
  <si>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</si>
  <si>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</si>
  <si>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</si>
  <si>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</si>
  <si>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</si>
  <si>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</si>
  <si>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</si>
  <si>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</si>
  <si>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</si>
  <si>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</si>
  <si>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</si>
  <si>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</si>
  <si>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</si>
  <si>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</si>
  <si>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</si>
  <si>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</si>
  <si>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</si>
  <si>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</si>
  <si>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</si>
  <si>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</si>
  <si>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</si>
  <si>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</si>
  <si>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</si>
  <si>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</si>
  <si>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</si>
  <si>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</si>
  <si>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</si>
  <si>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</si>
  <si>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</si>
  <si>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</si>
  <si>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</si>
  <si>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</si>
  <si>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</si>
  <si>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</si>
  <si>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</si>
  <si>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</si>
  <si>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</si>
  <si>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</si>
  <si>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</si>
  <si>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</si>
  <si>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</si>
  <si>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</si>
  <si>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</si>
  <si>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</si>
  <si>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NORMALISASI DATA (Skala 1–10)</t>
  </si>
  <si>
    <t>#</t>
  </si>
  <si>
    <t>Years of Exp</t>
  </si>
  <si>
    <t>N_Age</t>
  </si>
  <si>
    <t>N_Edu</t>
  </si>
  <si>
    <t>N_Exp</t>
  </si>
  <si>
    <t>N_Salary</t>
  </si>
  <si>
    <t>N_Gender</t>
  </si>
  <si>
    <t>PERHITUNGAN VEKTOR S DAN VEKTOR V (Weighted Product)</t>
  </si>
  <si>
    <t>Vektor S</t>
  </si>
  <si>
    <t>Vektor V</t>
  </si>
  <si>
    <t>Rank</t>
  </si>
  <si>
    <t>HASIL KEPUTUSAN &amp; DISTRIBUSI BONUS PROPORSIONAL</t>
  </si>
  <si>
    <t>Education</t>
  </si>
  <si>
    <t>Exp (yr)</t>
  </si>
  <si>
    <t>Status Keputusan</t>
  </si>
  <si>
    <t>Bagian V Penerima</t>
  </si>
  <si>
    <t>Nilai Bonus ($)</t>
  </si>
  <si>
    <t>TOTAL</t>
  </si>
  <si>
    <t>RANGKUMAN HASIL SPK</t>
  </si>
  <si>
    <t>Indikator</t>
  </si>
  <si>
    <t>Nilai</t>
  </si>
  <si>
    <t>Format</t>
  </si>
  <si>
    <t>Total Karyawan Dievaluasi</t>
  </si>
  <si>
    <t>0</t>
  </si>
  <si>
    <t>Karyawan Penerima Bonus</t>
  </si>
  <si>
    <t>$#,##0</t>
  </si>
  <si>
    <t>Total Bonus Dibagikan ($)</t>
  </si>
  <si>
    <t>Bonus Tertinggi ($)</t>
  </si>
  <si>
    <t>Bonus Terendah (penerima)</t>
  </si>
  <si>
    <t>Skor V Tertinggi</t>
  </si>
  <si>
    <t>0.000000</t>
  </si>
  <si>
    <t>Ambang Batas V</t>
  </si>
  <si>
    <t>0.00000</t>
  </si>
  <si>
    <t>TOP 10 PENERIMA BONUS TERTINGGI</t>
  </si>
  <si>
    <t>Jabatan</t>
  </si>
  <si>
    <t>Bonus ($)</t>
  </si>
  <si>
    <t>Sel biru (kolom C) = input yang dapat diubah (nilai 1–5). Bobot akan otomatis ternormalisasi.</t>
  </si>
  <si>
    <t>Ambang batas V = baris 15 kolom C | Anggaran bonus = baris 16 kolom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</si>
</sst>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\$#,##0"/>
    <numFmt numFmtId="167" formatCode="0.0"/>
    <numFmt numFmtId="168" formatCode="0.000000"/>
  </numFmts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595959"/>
      <name val="Arial"/>
      <charset val="1"/>
    </font>
    <font>
      <b/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2"/>
      <color rgb="FF1F4E79"/>
      <name val="Arial"/>
      <charset val="1"/>
    </font>
    <font>
      <sz val="9"/>
      <name val="Arial"/>
      <charset val="1"/>
    </font>
    <font>
      <b/>
      <sz val="9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1F4E7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5F9FF"/>
        <bgColor rgb="FFFFFFFF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5F9FF"/>
      </patternFill>
    </fill>
    <fill>
      <patternFill patternType="solid">
        <fgColor theme="2" tint="-9.9978637043366805E-2"/>
        <bgColor rgb="FFC6EFCE"/>
      </patternFill>
    </fill>
    <fill>
      <patternFill patternType="solid">
        <fgColor theme="9" tint="0.39997558519241921"/>
        <bgColor rgb="FFFCE4D6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166" fontId="5" fillId="0" borderId="2" xfId="0" applyNumberFormat="1" applyFont="1" applyBorder="1"/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6" fontId="5" fillId="6" borderId="2" xfId="0" applyNumberFormat="1" applyFont="1" applyFill="1" applyBorder="1"/>
    <xf numFmtId="0" fontId="5" fillId="6" borderId="2" xfId="0" applyFont="1" applyFill="1" applyBorder="1" applyAlignment="1">
      <alignment horizontal="left" vertical="center"/>
    </xf>
    <xf numFmtId="1" fontId="5" fillId="6" borderId="2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8" fontId="5" fillId="6" borderId="2" xfId="0" applyNumberFormat="1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7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1" fontId="5" fillId="9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8" fontId="5" fillId="9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10" borderId="0" xfId="0" applyFont="1" applyFill="1" applyBorder="1" applyAlignment="1">
      <alignment horizontal="left" vertical="center"/>
    </xf>
    <xf numFmtId="1" fontId="11" fillId="11" borderId="2" xfId="0" applyNumberFormat="1" applyFont="1" applyFill="1" applyBorder="1" applyAlignment="1">
      <alignment horizontal="center" vertical="center"/>
    </xf>
    <xf numFmtId="165" fontId="10" fillId="11" borderId="5" xfId="0" applyNumberFormat="1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F9FF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zoomScale="89" zoomScaleNormal="10" workbookViewId="0">
      <selection activeCell="A4" sqref="A4:XFD4"/>
    </sheetView>
  </sheetViews>
  <sheetFormatPr defaultColWidth="8.6328125" defaultRowHeight="14.5" x14ac:dyDescent="0.35"/>
  <cols>
    <col min="1" max="1" width="28" customWidth="1"/>
    <col min="2" max="2" width="12" customWidth="1"/>
    <col min="3" max="3" width="20" customWidth="1"/>
    <col min="4" max="4" width="22" customWidth="1"/>
    <col min="5" max="5" width="14" customWidth="1"/>
  </cols>
  <sheetData>
    <row r="1" spans="1:5" ht="30" customHeight="1" x14ac:dyDescent="0.35">
      <c r="A1" s="6" t="s">
        <v>0</v>
      </c>
      <c r="B1" s="6"/>
      <c r="C1" s="6"/>
      <c r="D1" s="6"/>
      <c r="E1" s="6"/>
    </row>
    <row r="2" spans="1:5" ht="18" customHeight="1" x14ac:dyDescent="0.35">
      <c r="A2" s="5" t="s">
        <v>1</v>
      </c>
      <c r="B2" s="5"/>
      <c r="C2" s="5"/>
      <c r="D2" s="5"/>
      <c r="E2" s="5"/>
    </row>
    <row r="3" spans="1:5" ht="10" customHeight="1" x14ac:dyDescent="0.35"/>
    <row r="4" spans="1:5" ht="23" customHeight="1" x14ac:dyDescent="0.35">
      <c r="A4" s="4" t="s">
        <v>2</v>
      </c>
      <c r="B4" s="4"/>
      <c r="C4" s="4"/>
      <c r="D4" s="4"/>
      <c r="E4" s="4"/>
    </row>
    <row r="5" spans="1:5" ht="21.75" customHeight="1" x14ac:dyDescent="0.3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5" ht="19.5" customHeight="1" x14ac:dyDescent="0.35">
      <c r="A6" s="42" t="s">
        <v>8</v>
      </c>
      <c r="B6" s="9" t="s">
        <v>9</v>
      </c>
      <c r="C6" s="39">
        <v>3</v>
      </c>
      <c r="D6" s="43">
        <f>C6/SUM($C$6:$C$10)</f>
        <v>0.2</v>
      </c>
      <c r="E6" s="43">
        <f>D6</f>
        <v>0.2</v>
      </c>
    </row>
    <row r="7" spans="1:5" ht="19.5" customHeight="1" x14ac:dyDescent="0.35">
      <c r="A7" s="42" t="s">
        <v>10</v>
      </c>
      <c r="B7" s="9" t="s">
        <v>9</v>
      </c>
      <c r="C7" s="39">
        <v>4</v>
      </c>
      <c r="D7" s="43">
        <f>C7/SUM($C$6:$C$10)</f>
        <v>0.26666666666666666</v>
      </c>
      <c r="E7" s="43">
        <f>D7</f>
        <v>0.26666666666666666</v>
      </c>
    </row>
    <row r="8" spans="1:5" ht="19.5" customHeight="1" x14ac:dyDescent="0.35">
      <c r="A8" s="42" t="s">
        <v>11</v>
      </c>
      <c r="B8" s="9" t="s">
        <v>9</v>
      </c>
      <c r="C8" s="39">
        <v>5</v>
      </c>
      <c r="D8" s="43">
        <f>C8/SUM($C$6:$C$10)</f>
        <v>0.33333333333333331</v>
      </c>
      <c r="E8" s="43">
        <f>D8</f>
        <v>0.33333333333333331</v>
      </c>
    </row>
    <row r="9" spans="1:5" ht="19.5" customHeight="1" x14ac:dyDescent="0.35">
      <c r="A9" s="42" t="s">
        <v>12</v>
      </c>
      <c r="B9" s="10" t="s">
        <v>13</v>
      </c>
      <c r="C9" s="39">
        <v>2</v>
      </c>
      <c r="D9" s="43">
        <f>C9/SUM($C$6:$C$10)</f>
        <v>0.13333333333333333</v>
      </c>
      <c r="E9" s="43">
        <f>-D9</f>
        <v>-0.13333333333333333</v>
      </c>
    </row>
    <row r="10" spans="1:5" ht="19.5" customHeight="1" x14ac:dyDescent="0.35">
      <c r="A10" s="42" t="s">
        <v>14</v>
      </c>
      <c r="B10" s="9" t="s">
        <v>9</v>
      </c>
      <c r="C10" s="39">
        <v>1</v>
      </c>
      <c r="D10" s="43">
        <f>C10/SUM($C$6:$C$10)</f>
        <v>6.6666666666666666E-2</v>
      </c>
      <c r="E10" s="43">
        <f>D10</f>
        <v>6.6666666666666666E-2</v>
      </c>
    </row>
    <row r="11" spans="1:5" ht="15.5" customHeight="1" x14ac:dyDescent="0.35"/>
    <row r="12" spans="1:5" ht="20" customHeight="1" x14ac:dyDescent="0.35">
      <c r="A12" s="37" t="s">
        <v>240</v>
      </c>
      <c r="B12" s="3"/>
      <c r="C12" s="3"/>
      <c r="D12" s="3"/>
      <c r="E12" s="3"/>
    </row>
    <row r="13" spans="1:5" ht="12.5" customHeight="1" x14ac:dyDescent="0.35"/>
    <row r="14" spans="1:5" ht="24" customHeight="1" x14ac:dyDescent="0.35">
      <c r="A14" s="38" t="s">
        <v>15</v>
      </c>
      <c r="B14" s="38"/>
      <c r="C14" s="38"/>
      <c r="D14" s="38"/>
      <c r="E14" s="38"/>
    </row>
    <row r="15" spans="1:5" ht="19.5" customHeight="1" x14ac:dyDescent="0.35">
      <c r="A15" s="44" t="s">
        <v>16</v>
      </c>
      <c r="B15" s="45"/>
      <c r="C15" s="40">
        <v>4.0000000000000001E-3</v>
      </c>
    </row>
    <row r="16" spans="1:5" ht="19.5" customHeight="1" x14ac:dyDescent="0.35">
      <c r="A16" s="46" t="s">
        <v>17</v>
      </c>
      <c r="B16" s="46"/>
      <c r="C16" s="41">
        <v>50000</v>
      </c>
    </row>
    <row r="17" spans="1:5" ht="15" customHeight="1" x14ac:dyDescent="0.35">
      <c r="A17" s="37" t="s">
        <v>241</v>
      </c>
      <c r="B17" s="3"/>
      <c r="C17" s="3"/>
      <c r="D17" s="3"/>
      <c r="E17" s="3"/>
    </row>
  </sheetData>
  <mergeCells count="8">
    <mergeCell ref="A15:B15"/>
    <mergeCell ref="A16:B16"/>
    <mergeCell ref="A17:E17"/>
    <mergeCell ref="A1:E1"/>
    <mergeCell ref="A2:E2"/>
    <mergeCell ref="A4:E4"/>
    <mergeCell ref="A12:E12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5"/>
  <sheetViews>
    <sheetView showGridLines="0" tabSelected="1" zoomScale="65" zoomScaleNormal="100" workbookViewId="0">
      <pane ySplit="2" topLeftCell="A3" activePane="bottomLeft" state="frozen"/>
      <selection pane="bottomLeft" sqref="A1:F1"/>
    </sheetView>
  </sheetViews>
  <sheetFormatPr defaultColWidth="8.6328125" defaultRowHeight="14.5" x14ac:dyDescent="0.35"/>
  <cols>
    <col min="1" max="1" width="8" customWidth="1"/>
    <col min="2" max="2" width="10" customWidth="1"/>
    <col min="3" max="3" width="18" customWidth="1"/>
    <col min="4" max="4" width="38" customWidth="1"/>
    <col min="5" max="6" width="14" customWidth="1"/>
  </cols>
  <sheetData>
    <row r="1" spans="1:6" ht="25.5" customHeight="1" x14ac:dyDescent="0.35">
      <c r="A1" s="2" t="s">
        <v>18</v>
      </c>
      <c r="B1" s="2"/>
      <c r="C1" s="2"/>
      <c r="D1" s="2"/>
      <c r="E1" s="2"/>
      <c r="F1" s="2"/>
    </row>
    <row r="2" spans="1:6" ht="15" customHeight="1" x14ac:dyDescent="0.35">
      <c r="A2" s="7" t="s">
        <v>19</v>
      </c>
      <c r="B2" s="7" t="s">
        <v>14</v>
      </c>
      <c r="C2" s="7" t="s">
        <v>20</v>
      </c>
      <c r="D2" s="7" t="s">
        <v>21</v>
      </c>
      <c r="E2" s="7" t="s">
        <v>22</v>
      </c>
      <c r="F2" s="7" t="s">
        <v>23</v>
      </c>
    </row>
    <row r="3" spans="1:6" ht="15" customHeight="1" x14ac:dyDescent="0.35">
      <c r="A3" s="11">
        <v>32</v>
      </c>
      <c r="B3" s="11" t="s">
        <v>24</v>
      </c>
      <c r="C3" s="11" t="s">
        <v>25</v>
      </c>
      <c r="D3" s="12" t="s">
        <v>26</v>
      </c>
      <c r="E3" s="11">
        <v>5</v>
      </c>
      <c r="F3" s="13">
        <v>90000</v>
      </c>
    </row>
    <row r="4" spans="1:6" ht="15" customHeight="1" x14ac:dyDescent="0.35">
      <c r="A4" s="14">
        <v>28</v>
      </c>
      <c r="B4" s="14" t="s">
        <v>27</v>
      </c>
      <c r="C4" s="14" t="s">
        <v>28</v>
      </c>
      <c r="D4" s="15" t="s">
        <v>29</v>
      </c>
      <c r="E4" s="14">
        <v>3</v>
      </c>
      <c r="F4" s="16">
        <v>65000</v>
      </c>
    </row>
    <row r="5" spans="1:6" ht="15" customHeight="1" x14ac:dyDescent="0.35">
      <c r="A5" s="11">
        <v>45</v>
      </c>
      <c r="B5" s="11" t="s">
        <v>24</v>
      </c>
      <c r="C5" s="11" t="s">
        <v>30</v>
      </c>
      <c r="D5" s="12" t="s">
        <v>31</v>
      </c>
      <c r="E5" s="11">
        <v>15</v>
      </c>
      <c r="F5" s="13">
        <v>150000</v>
      </c>
    </row>
    <row r="6" spans="1:6" ht="15" customHeight="1" x14ac:dyDescent="0.35">
      <c r="A6" s="14">
        <v>36</v>
      </c>
      <c r="B6" s="14" t="s">
        <v>27</v>
      </c>
      <c r="C6" s="14" t="s">
        <v>25</v>
      </c>
      <c r="D6" s="15" t="s">
        <v>32</v>
      </c>
      <c r="E6" s="14">
        <v>7</v>
      </c>
      <c r="F6" s="16">
        <v>60000</v>
      </c>
    </row>
    <row r="7" spans="1:6" ht="15" customHeight="1" x14ac:dyDescent="0.35">
      <c r="A7" s="11">
        <v>52</v>
      </c>
      <c r="B7" s="11" t="s">
        <v>24</v>
      </c>
      <c r="C7" s="11" t="s">
        <v>28</v>
      </c>
      <c r="D7" s="12" t="s">
        <v>33</v>
      </c>
      <c r="E7" s="11">
        <v>20</v>
      </c>
      <c r="F7" s="13">
        <v>200000</v>
      </c>
    </row>
    <row r="8" spans="1:6" ht="15" customHeight="1" x14ac:dyDescent="0.35">
      <c r="A8" s="14">
        <v>29</v>
      </c>
      <c r="B8" s="14" t="s">
        <v>24</v>
      </c>
      <c r="C8" s="14" t="s">
        <v>25</v>
      </c>
      <c r="D8" s="15" t="s">
        <v>34</v>
      </c>
      <c r="E8" s="14">
        <v>2</v>
      </c>
      <c r="F8" s="16">
        <v>55000</v>
      </c>
    </row>
    <row r="9" spans="1:6" ht="15" customHeight="1" x14ac:dyDescent="0.35">
      <c r="A9" s="11">
        <v>42</v>
      </c>
      <c r="B9" s="11" t="s">
        <v>27</v>
      </c>
      <c r="C9" s="11" t="s">
        <v>28</v>
      </c>
      <c r="D9" s="12" t="s">
        <v>35</v>
      </c>
      <c r="E9" s="11">
        <v>12</v>
      </c>
      <c r="F9" s="13">
        <v>120000</v>
      </c>
    </row>
    <row r="10" spans="1:6" ht="15" customHeight="1" x14ac:dyDescent="0.35">
      <c r="A10" s="14">
        <v>31</v>
      </c>
      <c r="B10" s="14" t="s">
        <v>24</v>
      </c>
      <c r="C10" s="14" t="s">
        <v>25</v>
      </c>
      <c r="D10" s="15" t="s">
        <v>36</v>
      </c>
      <c r="E10" s="14">
        <v>4</v>
      </c>
      <c r="F10" s="16">
        <v>80000</v>
      </c>
    </row>
    <row r="11" spans="1:6" ht="15" customHeight="1" x14ac:dyDescent="0.35">
      <c r="A11" s="11">
        <v>26</v>
      </c>
      <c r="B11" s="11" t="s">
        <v>27</v>
      </c>
      <c r="C11" s="11" t="s">
        <v>25</v>
      </c>
      <c r="D11" s="12" t="s">
        <v>37</v>
      </c>
      <c r="E11" s="11">
        <v>1</v>
      </c>
      <c r="F11" s="13">
        <v>45000</v>
      </c>
    </row>
    <row r="12" spans="1:6" ht="15" customHeight="1" x14ac:dyDescent="0.35">
      <c r="A12" s="14">
        <v>38</v>
      </c>
      <c r="B12" s="14" t="s">
        <v>24</v>
      </c>
      <c r="C12" s="14" t="s">
        <v>30</v>
      </c>
      <c r="D12" s="15" t="s">
        <v>38</v>
      </c>
      <c r="E12" s="14">
        <v>10</v>
      </c>
      <c r="F12" s="16">
        <v>110000</v>
      </c>
    </row>
    <row r="13" spans="1:6" ht="15" customHeight="1" x14ac:dyDescent="0.35">
      <c r="A13" s="11">
        <v>29</v>
      </c>
      <c r="B13" s="11" t="s">
        <v>24</v>
      </c>
      <c r="C13" s="11" t="s">
        <v>28</v>
      </c>
      <c r="D13" s="12" t="s">
        <v>39</v>
      </c>
      <c r="E13" s="11">
        <v>3</v>
      </c>
      <c r="F13" s="13">
        <v>75000</v>
      </c>
    </row>
    <row r="14" spans="1:6" ht="15" customHeight="1" x14ac:dyDescent="0.35">
      <c r="A14" s="14">
        <v>48</v>
      </c>
      <c r="B14" s="14" t="s">
        <v>27</v>
      </c>
      <c r="C14" s="14" t="s">
        <v>25</v>
      </c>
      <c r="D14" s="15" t="s">
        <v>40</v>
      </c>
      <c r="E14" s="14">
        <v>18</v>
      </c>
      <c r="F14" s="16">
        <v>140000</v>
      </c>
    </row>
    <row r="15" spans="1:6" ht="15" customHeight="1" x14ac:dyDescent="0.35">
      <c r="A15" s="11">
        <v>35</v>
      </c>
      <c r="B15" s="11" t="s">
        <v>24</v>
      </c>
      <c r="C15" s="11" t="s">
        <v>25</v>
      </c>
      <c r="D15" s="12" t="s">
        <v>41</v>
      </c>
      <c r="E15" s="11">
        <v>6</v>
      </c>
      <c r="F15" s="13">
        <v>65000</v>
      </c>
    </row>
    <row r="16" spans="1:6" ht="15" customHeight="1" x14ac:dyDescent="0.35">
      <c r="A16" s="14">
        <v>40</v>
      </c>
      <c r="B16" s="14" t="s">
        <v>27</v>
      </c>
      <c r="C16" s="14" t="s">
        <v>28</v>
      </c>
      <c r="D16" s="15" t="s">
        <v>42</v>
      </c>
      <c r="E16" s="14">
        <v>14</v>
      </c>
      <c r="F16" s="16">
        <v>130000</v>
      </c>
    </row>
    <row r="17" spans="1:6" ht="15" customHeight="1" x14ac:dyDescent="0.35">
      <c r="A17" s="11">
        <v>27</v>
      </c>
      <c r="B17" s="11" t="s">
        <v>24</v>
      </c>
      <c r="C17" s="11" t="s">
        <v>25</v>
      </c>
      <c r="D17" s="12" t="s">
        <v>43</v>
      </c>
      <c r="E17" s="11">
        <v>2</v>
      </c>
      <c r="F17" s="13">
        <v>40000</v>
      </c>
    </row>
    <row r="18" spans="1:6" ht="15" customHeight="1" x14ac:dyDescent="0.35">
      <c r="A18" s="14">
        <v>44</v>
      </c>
      <c r="B18" s="14" t="s">
        <v>24</v>
      </c>
      <c r="C18" s="14" t="s">
        <v>25</v>
      </c>
      <c r="D18" s="15" t="s">
        <v>44</v>
      </c>
      <c r="E18" s="14">
        <v>16</v>
      </c>
      <c r="F18" s="16">
        <v>125000</v>
      </c>
    </row>
    <row r="19" spans="1:6" ht="15" customHeight="1" x14ac:dyDescent="0.35">
      <c r="A19" s="11">
        <v>33</v>
      </c>
      <c r="B19" s="11" t="s">
        <v>27</v>
      </c>
      <c r="C19" s="11" t="s">
        <v>28</v>
      </c>
      <c r="D19" s="12" t="s">
        <v>45</v>
      </c>
      <c r="E19" s="11">
        <v>7</v>
      </c>
      <c r="F19" s="13">
        <v>90000</v>
      </c>
    </row>
    <row r="20" spans="1:6" ht="15" customHeight="1" x14ac:dyDescent="0.35">
      <c r="A20" s="14">
        <v>39</v>
      </c>
      <c r="B20" s="14" t="s">
        <v>24</v>
      </c>
      <c r="C20" s="14" t="s">
        <v>30</v>
      </c>
      <c r="D20" s="15" t="s">
        <v>46</v>
      </c>
      <c r="E20" s="14">
        <v>12</v>
      </c>
      <c r="F20" s="16">
        <v>115000</v>
      </c>
    </row>
    <row r="21" spans="1:6" ht="15" customHeight="1" x14ac:dyDescent="0.35">
      <c r="A21" s="11">
        <v>25</v>
      </c>
      <c r="B21" s="11" t="s">
        <v>27</v>
      </c>
      <c r="C21" s="11" t="s">
        <v>25</v>
      </c>
      <c r="D21" s="12" t="s">
        <v>47</v>
      </c>
      <c r="E21" s="11">
        <v>0</v>
      </c>
      <c r="F21" s="13">
        <v>35000</v>
      </c>
    </row>
    <row r="22" spans="1:6" ht="15" customHeight="1" x14ac:dyDescent="0.35">
      <c r="A22" s="14">
        <v>51</v>
      </c>
      <c r="B22" s="14" t="s">
        <v>24</v>
      </c>
      <c r="C22" s="14" t="s">
        <v>25</v>
      </c>
      <c r="D22" s="15" t="s">
        <v>48</v>
      </c>
      <c r="E22" s="14">
        <v>22</v>
      </c>
      <c r="F22" s="16">
        <v>180000</v>
      </c>
    </row>
    <row r="23" spans="1:6" ht="15" customHeight="1" x14ac:dyDescent="0.35">
      <c r="A23" s="11">
        <v>34</v>
      </c>
      <c r="B23" s="11" t="s">
        <v>27</v>
      </c>
      <c r="C23" s="11" t="s">
        <v>28</v>
      </c>
      <c r="D23" s="12" t="s">
        <v>49</v>
      </c>
      <c r="E23" s="11">
        <v>5</v>
      </c>
      <c r="F23" s="13">
        <v>80000</v>
      </c>
    </row>
    <row r="24" spans="1:6" ht="15" customHeight="1" x14ac:dyDescent="0.35">
      <c r="A24" s="14">
        <v>47</v>
      </c>
      <c r="B24" s="14" t="s">
        <v>24</v>
      </c>
      <c r="C24" s="14" t="s">
        <v>28</v>
      </c>
      <c r="D24" s="15" t="s">
        <v>50</v>
      </c>
      <c r="E24" s="14">
        <v>19</v>
      </c>
      <c r="F24" s="16">
        <v>190000</v>
      </c>
    </row>
    <row r="25" spans="1:6" ht="15" customHeight="1" x14ac:dyDescent="0.35">
      <c r="A25" s="11">
        <v>30</v>
      </c>
      <c r="B25" s="11" t="s">
        <v>24</v>
      </c>
      <c r="C25" s="11" t="s">
        <v>25</v>
      </c>
      <c r="D25" s="12" t="s">
        <v>51</v>
      </c>
      <c r="E25" s="11">
        <v>2</v>
      </c>
      <c r="F25" s="13">
        <v>50000</v>
      </c>
    </row>
    <row r="26" spans="1:6" ht="15" customHeight="1" x14ac:dyDescent="0.35">
      <c r="A26" s="14">
        <v>36</v>
      </c>
      <c r="B26" s="14" t="s">
        <v>27</v>
      </c>
      <c r="C26" s="14" t="s">
        <v>25</v>
      </c>
      <c r="D26" s="15" t="s">
        <v>52</v>
      </c>
      <c r="E26" s="14">
        <v>9</v>
      </c>
      <c r="F26" s="16">
        <v>60000</v>
      </c>
    </row>
    <row r="27" spans="1:6" ht="15" customHeight="1" x14ac:dyDescent="0.35">
      <c r="A27" s="11">
        <v>41</v>
      </c>
      <c r="B27" s="11" t="s">
        <v>24</v>
      </c>
      <c r="C27" s="11" t="s">
        <v>28</v>
      </c>
      <c r="D27" s="12" t="s">
        <v>53</v>
      </c>
      <c r="E27" s="11">
        <v>13</v>
      </c>
      <c r="F27" s="13">
        <v>140000</v>
      </c>
    </row>
    <row r="28" spans="1:6" ht="15" customHeight="1" x14ac:dyDescent="0.35">
      <c r="A28" s="14">
        <v>28</v>
      </c>
      <c r="B28" s="14" t="s">
        <v>27</v>
      </c>
      <c r="C28" s="14" t="s">
        <v>25</v>
      </c>
      <c r="D28" s="15" t="s">
        <v>54</v>
      </c>
      <c r="E28" s="14">
        <v>3</v>
      </c>
      <c r="F28" s="16">
        <v>45000</v>
      </c>
    </row>
    <row r="29" spans="1:6" ht="15" customHeight="1" x14ac:dyDescent="0.35">
      <c r="A29" s="11">
        <v>37</v>
      </c>
      <c r="B29" s="11" t="s">
        <v>27</v>
      </c>
      <c r="C29" s="11" t="s">
        <v>28</v>
      </c>
      <c r="D29" s="12" t="s">
        <v>55</v>
      </c>
      <c r="E29" s="11">
        <v>11</v>
      </c>
      <c r="F29" s="13">
        <v>110000</v>
      </c>
    </row>
    <row r="30" spans="1:6" ht="15" customHeight="1" x14ac:dyDescent="0.35">
      <c r="A30" s="14">
        <v>24</v>
      </c>
      <c r="B30" s="14" t="s">
        <v>24</v>
      </c>
      <c r="C30" s="14" t="s">
        <v>25</v>
      </c>
      <c r="D30" s="15" t="s">
        <v>56</v>
      </c>
      <c r="E30" s="14">
        <v>1</v>
      </c>
      <c r="F30" s="16">
        <v>40000</v>
      </c>
    </row>
    <row r="31" spans="1:6" ht="15" customHeight="1" x14ac:dyDescent="0.35">
      <c r="A31" s="11">
        <v>43</v>
      </c>
      <c r="B31" s="11" t="s">
        <v>27</v>
      </c>
      <c r="C31" s="11" t="s">
        <v>30</v>
      </c>
      <c r="D31" s="12" t="s">
        <v>57</v>
      </c>
      <c r="E31" s="11">
        <v>15</v>
      </c>
      <c r="F31" s="13">
        <v>140000</v>
      </c>
    </row>
    <row r="32" spans="1:6" ht="15" customHeight="1" x14ac:dyDescent="0.35">
      <c r="A32" s="14">
        <v>33</v>
      </c>
      <c r="B32" s="14" t="s">
        <v>24</v>
      </c>
      <c r="C32" s="14" t="s">
        <v>28</v>
      </c>
      <c r="D32" s="15" t="s">
        <v>58</v>
      </c>
      <c r="E32" s="14">
        <v>6</v>
      </c>
      <c r="F32" s="16">
        <v>90000</v>
      </c>
    </row>
    <row r="33" spans="1:6" ht="15" customHeight="1" x14ac:dyDescent="0.35">
      <c r="A33" s="11">
        <v>50</v>
      </c>
      <c r="B33" s="11" t="s">
        <v>24</v>
      </c>
      <c r="C33" s="11" t="s">
        <v>25</v>
      </c>
      <c r="D33" s="12" t="s">
        <v>59</v>
      </c>
      <c r="E33" s="11">
        <v>25</v>
      </c>
      <c r="F33" s="13">
        <v>250000</v>
      </c>
    </row>
    <row r="34" spans="1:6" ht="15" customHeight="1" x14ac:dyDescent="0.35">
      <c r="A34" s="14">
        <v>31</v>
      </c>
      <c r="B34" s="14" t="s">
        <v>27</v>
      </c>
      <c r="C34" s="14" t="s">
        <v>25</v>
      </c>
      <c r="D34" s="15" t="s">
        <v>60</v>
      </c>
      <c r="E34" s="14">
        <v>4</v>
      </c>
      <c r="F34" s="16">
        <v>55000</v>
      </c>
    </row>
    <row r="35" spans="1:6" ht="15" customHeight="1" x14ac:dyDescent="0.35">
      <c r="A35" s="11">
        <v>29</v>
      </c>
      <c r="B35" s="11" t="s">
        <v>24</v>
      </c>
      <c r="C35" s="11" t="s">
        <v>28</v>
      </c>
      <c r="D35" s="12" t="s">
        <v>61</v>
      </c>
      <c r="E35" s="11">
        <v>3</v>
      </c>
      <c r="F35" s="13">
        <v>75000</v>
      </c>
    </row>
    <row r="36" spans="1:6" ht="15" customHeight="1" x14ac:dyDescent="0.35">
      <c r="A36" s="14">
        <v>39</v>
      </c>
      <c r="B36" s="14" t="s">
        <v>27</v>
      </c>
      <c r="C36" s="14" t="s">
        <v>25</v>
      </c>
      <c r="D36" s="15" t="s">
        <v>62</v>
      </c>
      <c r="E36" s="14">
        <v>10</v>
      </c>
      <c r="F36" s="16">
        <v>65000</v>
      </c>
    </row>
    <row r="37" spans="1:6" ht="15" customHeight="1" x14ac:dyDescent="0.35">
      <c r="A37" s="11">
        <v>46</v>
      </c>
      <c r="B37" s="11" t="s">
        <v>24</v>
      </c>
      <c r="C37" s="11" t="s">
        <v>30</v>
      </c>
      <c r="D37" s="12" t="s">
        <v>31</v>
      </c>
      <c r="E37" s="11">
        <v>20</v>
      </c>
      <c r="F37" s="13">
        <v>170000</v>
      </c>
    </row>
    <row r="38" spans="1:6" ht="15" customHeight="1" x14ac:dyDescent="0.35">
      <c r="A38" s="14">
        <v>27</v>
      </c>
      <c r="B38" s="14" t="s">
        <v>24</v>
      </c>
      <c r="C38" s="14" t="s">
        <v>25</v>
      </c>
      <c r="D38" s="15" t="s">
        <v>63</v>
      </c>
      <c r="E38" s="14">
        <v>2</v>
      </c>
      <c r="F38" s="16">
        <v>45000</v>
      </c>
    </row>
    <row r="39" spans="1:6" ht="15" customHeight="1" x14ac:dyDescent="0.35">
      <c r="A39" s="11">
        <v>35</v>
      </c>
      <c r="B39" s="11" t="s">
        <v>27</v>
      </c>
      <c r="C39" s="11" t="s">
        <v>25</v>
      </c>
      <c r="D39" s="12" t="s">
        <v>64</v>
      </c>
      <c r="E39" s="11">
        <v>7</v>
      </c>
      <c r="F39" s="13">
        <v>60000</v>
      </c>
    </row>
    <row r="40" spans="1:6" ht="15" customHeight="1" x14ac:dyDescent="0.35">
      <c r="A40" s="14">
        <v>42</v>
      </c>
      <c r="B40" s="14" t="s">
        <v>24</v>
      </c>
      <c r="C40" s="14" t="s">
        <v>28</v>
      </c>
      <c r="D40" s="15" t="s">
        <v>65</v>
      </c>
      <c r="E40" s="14">
        <v>14</v>
      </c>
      <c r="F40" s="16">
        <v>115000</v>
      </c>
    </row>
    <row r="41" spans="1:6" ht="15" customHeight="1" x14ac:dyDescent="0.35">
      <c r="A41" s="11">
        <v>26</v>
      </c>
      <c r="B41" s="11" t="s">
        <v>27</v>
      </c>
      <c r="C41" s="11" t="s">
        <v>25</v>
      </c>
      <c r="D41" s="12" t="s">
        <v>66</v>
      </c>
      <c r="E41" s="11">
        <v>1</v>
      </c>
      <c r="F41" s="13">
        <v>40000</v>
      </c>
    </row>
    <row r="42" spans="1:6" ht="15" customHeight="1" x14ac:dyDescent="0.35">
      <c r="A42" s="14">
        <v>49</v>
      </c>
      <c r="B42" s="14" t="s">
        <v>24</v>
      </c>
      <c r="C42" s="14" t="s">
        <v>25</v>
      </c>
      <c r="D42" s="15" t="s">
        <v>67</v>
      </c>
      <c r="E42" s="14">
        <v>21</v>
      </c>
      <c r="F42" s="16">
        <v>160000</v>
      </c>
    </row>
    <row r="43" spans="1:6" ht="15" customHeight="1" x14ac:dyDescent="0.35">
      <c r="A43" s="11">
        <v>34</v>
      </c>
      <c r="B43" s="11" t="s">
        <v>27</v>
      </c>
      <c r="C43" s="11" t="s">
        <v>28</v>
      </c>
      <c r="D43" s="12" t="s">
        <v>68</v>
      </c>
      <c r="E43" s="11">
        <v>5</v>
      </c>
      <c r="F43" s="13">
        <v>80000</v>
      </c>
    </row>
    <row r="44" spans="1:6" ht="15" customHeight="1" x14ac:dyDescent="0.35">
      <c r="A44" s="14">
        <v>48</v>
      </c>
      <c r="B44" s="14" t="s">
        <v>24</v>
      </c>
      <c r="C44" s="14" t="s">
        <v>28</v>
      </c>
      <c r="D44" s="15" t="s">
        <v>69</v>
      </c>
      <c r="E44" s="14">
        <v>18</v>
      </c>
      <c r="F44" s="16">
        <v>190000</v>
      </c>
    </row>
    <row r="45" spans="1:6" ht="15" customHeight="1" x14ac:dyDescent="0.35">
      <c r="A45" s="11">
        <v>30</v>
      </c>
      <c r="B45" s="11" t="s">
        <v>24</v>
      </c>
      <c r="C45" s="11" t="s">
        <v>25</v>
      </c>
      <c r="D45" s="12" t="s">
        <v>70</v>
      </c>
      <c r="E45" s="11">
        <v>3</v>
      </c>
      <c r="F45" s="13">
        <v>60000</v>
      </c>
    </row>
    <row r="46" spans="1:6" ht="15" customHeight="1" x14ac:dyDescent="0.35">
      <c r="A46" s="14">
        <v>36</v>
      </c>
      <c r="B46" s="14" t="s">
        <v>27</v>
      </c>
      <c r="C46" s="14" t="s">
        <v>25</v>
      </c>
      <c r="D46" s="15" t="s">
        <v>71</v>
      </c>
      <c r="E46" s="14">
        <v>8</v>
      </c>
      <c r="F46" s="16">
        <v>45000</v>
      </c>
    </row>
    <row r="47" spans="1:6" ht="15" customHeight="1" x14ac:dyDescent="0.35">
      <c r="A47" s="11">
        <v>41</v>
      </c>
      <c r="B47" s="11" t="s">
        <v>24</v>
      </c>
      <c r="C47" s="11" t="s">
        <v>28</v>
      </c>
      <c r="D47" s="12" t="s">
        <v>72</v>
      </c>
      <c r="E47" s="11">
        <v>13</v>
      </c>
      <c r="F47" s="13">
        <v>130000</v>
      </c>
    </row>
    <row r="48" spans="1:6" ht="15" customHeight="1" x14ac:dyDescent="0.35">
      <c r="A48" s="14">
        <v>28</v>
      </c>
      <c r="B48" s="14" t="s">
        <v>27</v>
      </c>
      <c r="C48" s="14" t="s">
        <v>25</v>
      </c>
      <c r="D48" s="15" t="s">
        <v>73</v>
      </c>
      <c r="E48" s="14">
        <v>2</v>
      </c>
      <c r="F48" s="16">
        <v>40000</v>
      </c>
    </row>
    <row r="49" spans="1:6" ht="15" customHeight="1" x14ac:dyDescent="0.35">
      <c r="A49" s="11">
        <v>32</v>
      </c>
      <c r="B49" s="11" t="s">
        <v>24</v>
      </c>
      <c r="C49" s="11" t="s">
        <v>25</v>
      </c>
      <c r="D49" s="12" t="s">
        <v>74</v>
      </c>
      <c r="E49" s="11">
        <v>5</v>
      </c>
      <c r="F49" s="13">
        <v>75000</v>
      </c>
    </row>
    <row r="50" spans="1:6" ht="15" customHeight="1" x14ac:dyDescent="0.35">
      <c r="A50" s="14">
        <v>45</v>
      </c>
      <c r="B50" s="14" t="s">
        <v>27</v>
      </c>
      <c r="C50" s="14" t="s">
        <v>28</v>
      </c>
      <c r="D50" s="15" t="s">
        <v>75</v>
      </c>
      <c r="E50" s="14">
        <v>16</v>
      </c>
      <c r="F50" s="16">
        <v>180000</v>
      </c>
    </row>
    <row r="51" spans="1:6" ht="15" customHeight="1" x14ac:dyDescent="0.35">
      <c r="A51" s="11">
        <v>38</v>
      </c>
      <c r="B51" s="11" t="s">
        <v>24</v>
      </c>
      <c r="C51" s="11" t="s">
        <v>30</v>
      </c>
      <c r="D51" s="12" t="s">
        <v>38</v>
      </c>
      <c r="E51" s="11">
        <v>11</v>
      </c>
      <c r="F51" s="13">
        <v>120000</v>
      </c>
    </row>
    <row r="52" spans="1:6" ht="15" customHeight="1" x14ac:dyDescent="0.35">
      <c r="A52" s="14">
        <v>25</v>
      </c>
      <c r="B52" s="14" t="s">
        <v>24</v>
      </c>
      <c r="C52" s="14" t="s">
        <v>25</v>
      </c>
      <c r="D52" s="15" t="s">
        <v>76</v>
      </c>
      <c r="E52" s="14">
        <v>0</v>
      </c>
      <c r="F52" s="16">
        <v>35000</v>
      </c>
    </row>
    <row r="53" spans="1:6" ht="15" customHeight="1" x14ac:dyDescent="0.35">
      <c r="A53" s="11">
        <v>51</v>
      </c>
      <c r="B53" s="11" t="s">
        <v>27</v>
      </c>
      <c r="C53" s="11" t="s">
        <v>25</v>
      </c>
      <c r="D53" s="12" t="s">
        <v>77</v>
      </c>
      <c r="E53" s="11">
        <v>22</v>
      </c>
      <c r="F53" s="13">
        <v>130000</v>
      </c>
    </row>
    <row r="54" spans="1:6" ht="15" customHeight="1" x14ac:dyDescent="0.35">
      <c r="A54" s="14">
        <v>33</v>
      </c>
      <c r="B54" s="14" t="s">
        <v>24</v>
      </c>
      <c r="C54" s="14" t="s">
        <v>28</v>
      </c>
      <c r="D54" s="15" t="s">
        <v>78</v>
      </c>
      <c r="E54" s="14">
        <v>7</v>
      </c>
      <c r="F54" s="16">
        <v>85000</v>
      </c>
    </row>
    <row r="55" spans="1:6" ht="15" customHeight="1" x14ac:dyDescent="0.35">
      <c r="A55" s="11">
        <v>40</v>
      </c>
      <c r="B55" s="11" t="s">
        <v>27</v>
      </c>
      <c r="C55" s="11" t="s">
        <v>25</v>
      </c>
      <c r="D55" s="12" t="s">
        <v>79</v>
      </c>
      <c r="E55" s="11">
        <v>12</v>
      </c>
      <c r="F55" s="13">
        <v>60000</v>
      </c>
    </row>
    <row r="56" spans="1:6" ht="15" customHeight="1" x14ac:dyDescent="0.35">
      <c r="A56" s="14">
        <v>47</v>
      </c>
      <c r="B56" s="14" t="s">
        <v>24</v>
      </c>
      <c r="C56" s="14" t="s">
        <v>28</v>
      </c>
      <c r="D56" s="15" t="s">
        <v>80</v>
      </c>
      <c r="E56" s="14">
        <v>19</v>
      </c>
      <c r="F56" s="16">
        <v>200000</v>
      </c>
    </row>
    <row r="57" spans="1:6" ht="15" customHeight="1" x14ac:dyDescent="0.35">
      <c r="A57" s="11">
        <v>29</v>
      </c>
      <c r="B57" s="11" t="s">
        <v>27</v>
      </c>
      <c r="C57" s="11" t="s">
        <v>25</v>
      </c>
      <c r="D57" s="12" t="s">
        <v>81</v>
      </c>
      <c r="E57" s="11">
        <v>3</v>
      </c>
      <c r="F57" s="13">
        <v>50000</v>
      </c>
    </row>
    <row r="58" spans="1:6" ht="15" customHeight="1" x14ac:dyDescent="0.35">
      <c r="A58" s="14">
        <v>36</v>
      </c>
      <c r="B58" s="14" t="s">
        <v>24</v>
      </c>
      <c r="C58" s="14" t="s">
        <v>25</v>
      </c>
      <c r="D58" s="15" t="s">
        <v>36</v>
      </c>
      <c r="E58" s="14">
        <v>9</v>
      </c>
      <c r="F58" s="16">
        <v>95000</v>
      </c>
    </row>
    <row r="59" spans="1:6" ht="15" customHeight="1" x14ac:dyDescent="0.35">
      <c r="A59" s="11">
        <v>27</v>
      </c>
      <c r="B59" s="11" t="s">
        <v>27</v>
      </c>
      <c r="C59" s="11" t="s">
        <v>28</v>
      </c>
      <c r="D59" s="12" t="s">
        <v>82</v>
      </c>
      <c r="E59" s="11">
        <v>2</v>
      </c>
      <c r="F59" s="13">
        <v>65000</v>
      </c>
    </row>
    <row r="60" spans="1:6" ht="15" customHeight="1" x14ac:dyDescent="0.35">
      <c r="A60" s="14">
        <v>43</v>
      </c>
      <c r="B60" s="14" t="s">
        <v>24</v>
      </c>
      <c r="C60" s="14" t="s">
        <v>30</v>
      </c>
      <c r="D60" s="15" t="s">
        <v>46</v>
      </c>
      <c r="E60" s="14">
        <v>17</v>
      </c>
      <c r="F60" s="16">
        <v>140000</v>
      </c>
    </row>
    <row r="61" spans="1:6" ht="15" customHeight="1" x14ac:dyDescent="0.35">
      <c r="A61" s="11">
        <v>30</v>
      </c>
      <c r="B61" s="11" t="s">
        <v>27</v>
      </c>
      <c r="C61" s="11" t="s">
        <v>25</v>
      </c>
      <c r="D61" s="12" t="s">
        <v>83</v>
      </c>
      <c r="E61" s="11">
        <v>4</v>
      </c>
      <c r="F61" s="13">
        <v>55000</v>
      </c>
    </row>
    <row r="62" spans="1:6" ht="15" customHeight="1" x14ac:dyDescent="0.35">
      <c r="A62" s="14">
        <v>35</v>
      </c>
      <c r="B62" s="14" t="s">
        <v>24</v>
      </c>
      <c r="C62" s="14" t="s">
        <v>28</v>
      </c>
      <c r="D62" s="15" t="s">
        <v>35</v>
      </c>
      <c r="E62" s="14">
        <v>7</v>
      </c>
      <c r="F62" s="16">
        <v>105000</v>
      </c>
    </row>
    <row r="63" spans="1:6" ht="15" customHeight="1" x14ac:dyDescent="0.35">
      <c r="A63" s="11">
        <v>51</v>
      </c>
      <c r="B63" s="11" t="s">
        <v>27</v>
      </c>
      <c r="C63" s="11" t="s">
        <v>28</v>
      </c>
      <c r="D63" s="12" t="s">
        <v>84</v>
      </c>
      <c r="E63" s="11">
        <v>23</v>
      </c>
      <c r="F63" s="13">
        <v>170000</v>
      </c>
    </row>
    <row r="64" spans="1:6" ht="15" customHeight="1" x14ac:dyDescent="0.35">
      <c r="A64" s="14">
        <v>29</v>
      </c>
      <c r="B64" s="14" t="s">
        <v>24</v>
      </c>
      <c r="C64" s="14" t="s">
        <v>25</v>
      </c>
      <c r="D64" s="15" t="s">
        <v>34</v>
      </c>
      <c r="E64" s="14">
        <v>3</v>
      </c>
      <c r="F64" s="16">
        <v>50000</v>
      </c>
    </row>
    <row r="65" spans="1:6" ht="15" customHeight="1" x14ac:dyDescent="0.35">
      <c r="A65" s="11">
        <v>40</v>
      </c>
      <c r="B65" s="11" t="s">
        <v>27</v>
      </c>
      <c r="C65" s="11" t="s">
        <v>25</v>
      </c>
      <c r="D65" s="12" t="s">
        <v>40</v>
      </c>
      <c r="E65" s="11">
        <v>12</v>
      </c>
      <c r="F65" s="13">
        <v>80000</v>
      </c>
    </row>
    <row r="66" spans="1:6" ht="15" customHeight="1" x14ac:dyDescent="0.35">
      <c r="A66" s="14">
        <v>47</v>
      </c>
      <c r="B66" s="14" t="s">
        <v>24</v>
      </c>
      <c r="C66" s="14" t="s">
        <v>30</v>
      </c>
      <c r="D66" s="15" t="s">
        <v>85</v>
      </c>
      <c r="E66" s="14">
        <v>21</v>
      </c>
      <c r="F66" s="16">
        <v>180000</v>
      </c>
    </row>
    <row r="67" spans="1:6" ht="15" customHeight="1" x14ac:dyDescent="0.35">
      <c r="A67" s="11">
        <v>26</v>
      </c>
      <c r="B67" s="11" t="s">
        <v>24</v>
      </c>
      <c r="C67" s="11" t="s">
        <v>25</v>
      </c>
      <c r="D67" s="12" t="s">
        <v>86</v>
      </c>
      <c r="E67" s="11">
        <v>1</v>
      </c>
      <c r="F67" s="13">
        <v>35000</v>
      </c>
    </row>
    <row r="68" spans="1:6" ht="15" customHeight="1" x14ac:dyDescent="0.35">
      <c r="A68" s="14">
        <v>38</v>
      </c>
      <c r="B68" s="14" t="s">
        <v>27</v>
      </c>
      <c r="C68" s="14" t="s">
        <v>28</v>
      </c>
      <c r="D68" s="15" t="s">
        <v>87</v>
      </c>
      <c r="E68" s="14">
        <v>10</v>
      </c>
      <c r="F68" s="16">
        <v>90000</v>
      </c>
    </row>
    <row r="69" spans="1:6" ht="15" customHeight="1" x14ac:dyDescent="0.35">
      <c r="A69" s="11">
        <v>46</v>
      </c>
      <c r="B69" s="11" t="s">
        <v>24</v>
      </c>
      <c r="C69" s="11" t="s">
        <v>25</v>
      </c>
      <c r="D69" s="12" t="s">
        <v>88</v>
      </c>
      <c r="E69" s="11">
        <v>19</v>
      </c>
      <c r="F69" s="13">
        <v>120000</v>
      </c>
    </row>
    <row r="70" spans="1:6" ht="15" customHeight="1" x14ac:dyDescent="0.35">
      <c r="A70" s="14">
        <v>31</v>
      </c>
      <c r="B70" s="14" t="s">
        <v>27</v>
      </c>
      <c r="C70" s="14" t="s">
        <v>25</v>
      </c>
      <c r="D70" s="15" t="s">
        <v>89</v>
      </c>
      <c r="E70" s="14">
        <v>5</v>
      </c>
      <c r="F70" s="16">
        <v>45000</v>
      </c>
    </row>
    <row r="71" spans="1:6" ht="15" customHeight="1" x14ac:dyDescent="0.35">
      <c r="A71" s="11">
        <v>34</v>
      </c>
      <c r="B71" s="11" t="s">
        <v>24</v>
      </c>
      <c r="C71" s="11" t="s">
        <v>28</v>
      </c>
      <c r="D71" s="12" t="s">
        <v>90</v>
      </c>
      <c r="E71" s="11">
        <v>8</v>
      </c>
      <c r="F71" s="13">
        <v>90000</v>
      </c>
    </row>
    <row r="72" spans="1:6" ht="15" customHeight="1" x14ac:dyDescent="0.35">
      <c r="A72" s="14">
        <v>49</v>
      </c>
      <c r="B72" s="14" t="s">
        <v>27</v>
      </c>
      <c r="C72" s="14" t="s">
        <v>28</v>
      </c>
      <c r="D72" s="15" t="s">
        <v>91</v>
      </c>
      <c r="E72" s="14">
        <v>18</v>
      </c>
      <c r="F72" s="16">
        <v>150000</v>
      </c>
    </row>
    <row r="73" spans="1:6" ht="15" customHeight="1" x14ac:dyDescent="0.35">
      <c r="A73" s="11">
        <v>33</v>
      </c>
      <c r="B73" s="11" t="s">
        <v>24</v>
      </c>
      <c r="C73" s="11" t="s">
        <v>25</v>
      </c>
      <c r="D73" s="12" t="s">
        <v>92</v>
      </c>
      <c r="E73" s="11">
        <v>6</v>
      </c>
      <c r="F73" s="13">
        <v>65000</v>
      </c>
    </row>
    <row r="74" spans="1:6" ht="15" customHeight="1" x14ac:dyDescent="0.35">
      <c r="A74" s="14">
        <v>39</v>
      </c>
      <c r="B74" s="14" t="s">
        <v>27</v>
      </c>
      <c r="C74" s="14" t="s">
        <v>25</v>
      </c>
      <c r="D74" s="15" t="s">
        <v>52</v>
      </c>
      <c r="E74" s="14">
        <v>11</v>
      </c>
      <c r="F74" s="16">
        <v>70000</v>
      </c>
    </row>
    <row r="75" spans="1:6" ht="15" customHeight="1" x14ac:dyDescent="0.35">
      <c r="A75" s="11">
        <v>45</v>
      </c>
      <c r="B75" s="11" t="s">
        <v>24</v>
      </c>
      <c r="C75" s="11" t="s">
        <v>30</v>
      </c>
      <c r="D75" s="12" t="s">
        <v>93</v>
      </c>
      <c r="E75" s="11">
        <v>16</v>
      </c>
      <c r="F75" s="13">
        <v>190000</v>
      </c>
    </row>
    <row r="76" spans="1:6" ht="15" customHeight="1" x14ac:dyDescent="0.35">
      <c r="A76" s="14">
        <v>28</v>
      </c>
      <c r="B76" s="14" t="s">
        <v>24</v>
      </c>
      <c r="C76" s="14" t="s">
        <v>25</v>
      </c>
      <c r="D76" s="15" t="s">
        <v>94</v>
      </c>
      <c r="E76" s="14">
        <v>2</v>
      </c>
      <c r="F76" s="16">
        <v>40000</v>
      </c>
    </row>
    <row r="77" spans="1:6" ht="15" customHeight="1" x14ac:dyDescent="0.35">
      <c r="A77" s="11">
        <v>42</v>
      </c>
      <c r="B77" s="11" t="s">
        <v>27</v>
      </c>
      <c r="C77" s="11" t="s">
        <v>28</v>
      </c>
      <c r="D77" s="12" t="s">
        <v>95</v>
      </c>
      <c r="E77" s="11">
        <v>14</v>
      </c>
      <c r="F77" s="13">
        <v>120000</v>
      </c>
    </row>
    <row r="78" spans="1:6" ht="15" customHeight="1" x14ac:dyDescent="0.35">
      <c r="A78" s="14">
        <v>37</v>
      </c>
      <c r="B78" s="14" t="s">
        <v>24</v>
      </c>
      <c r="C78" s="14" t="s">
        <v>25</v>
      </c>
      <c r="D78" s="15" t="s">
        <v>42</v>
      </c>
      <c r="E78" s="14">
        <v>10</v>
      </c>
      <c r="F78" s="16">
        <v>95000</v>
      </c>
    </row>
    <row r="79" spans="1:6" ht="15" customHeight="1" x14ac:dyDescent="0.35">
      <c r="A79" s="11">
        <v>50</v>
      </c>
      <c r="B79" s="11" t="s">
        <v>27</v>
      </c>
      <c r="C79" s="11" t="s">
        <v>25</v>
      </c>
      <c r="D79" s="12" t="s">
        <v>44</v>
      </c>
      <c r="E79" s="11">
        <v>22</v>
      </c>
      <c r="F79" s="13">
        <v>160000</v>
      </c>
    </row>
    <row r="80" spans="1:6" ht="15" customHeight="1" x14ac:dyDescent="0.35">
      <c r="A80" s="14">
        <v>32</v>
      </c>
      <c r="B80" s="14" t="s">
        <v>24</v>
      </c>
      <c r="C80" s="14" t="s">
        <v>28</v>
      </c>
      <c r="D80" s="15" t="s">
        <v>96</v>
      </c>
      <c r="E80" s="14">
        <v>6</v>
      </c>
      <c r="F80" s="16">
        <v>100000</v>
      </c>
    </row>
    <row r="81" spans="1:6" ht="15" customHeight="1" x14ac:dyDescent="0.35">
      <c r="A81" s="11">
        <v>48</v>
      </c>
      <c r="B81" s="11" t="s">
        <v>27</v>
      </c>
      <c r="C81" s="11" t="s">
        <v>28</v>
      </c>
      <c r="D81" s="12" t="s">
        <v>97</v>
      </c>
      <c r="E81" s="11">
        <v>20</v>
      </c>
      <c r="F81" s="13">
        <v>180000</v>
      </c>
    </row>
    <row r="82" spans="1:6" ht="15" customHeight="1" x14ac:dyDescent="0.35">
      <c r="A82" s="14">
        <v>30</v>
      </c>
      <c r="B82" s="14" t="s">
        <v>27</v>
      </c>
      <c r="C82" s="14" t="s">
        <v>25</v>
      </c>
      <c r="D82" s="15" t="s">
        <v>98</v>
      </c>
      <c r="E82" s="14">
        <v>3</v>
      </c>
      <c r="F82" s="16">
        <v>55000</v>
      </c>
    </row>
    <row r="83" spans="1:6" ht="15" customHeight="1" x14ac:dyDescent="0.35">
      <c r="A83" s="11">
        <v>36</v>
      </c>
      <c r="B83" s="11" t="s">
        <v>24</v>
      </c>
      <c r="C83" s="11" t="s">
        <v>25</v>
      </c>
      <c r="D83" s="12" t="s">
        <v>99</v>
      </c>
      <c r="E83" s="11">
        <v>8</v>
      </c>
      <c r="F83" s="13">
        <v>70000</v>
      </c>
    </row>
    <row r="84" spans="1:6" ht="15" customHeight="1" x14ac:dyDescent="0.35">
      <c r="A84" s="14">
        <v>41</v>
      </c>
      <c r="B84" s="14" t="s">
        <v>27</v>
      </c>
      <c r="C84" s="14" t="s">
        <v>28</v>
      </c>
      <c r="D84" s="15" t="s">
        <v>29</v>
      </c>
      <c r="E84" s="14">
        <v>13</v>
      </c>
      <c r="F84" s="16">
        <v>80000</v>
      </c>
    </row>
    <row r="85" spans="1:6" ht="15" customHeight="1" x14ac:dyDescent="0.35">
      <c r="A85" s="11">
        <v>25</v>
      </c>
      <c r="B85" s="11" t="s">
        <v>24</v>
      </c>
      <c r="C85" s="11" t="s">
        <v>25</v>
      </c>
      <c r="D85" s="12" t="s">
        <v>100</v>
      </c>
      <c r="E85" s="11">
        <v>0</v>
      </c>
      <c r="F85" s="13">
        <v>30000</v>
      </c>
    </row>
    <row r="86" spans="1:6" ht="15" customHeight="1" x14ac:dyDescent="0.35">
      <c r="A86" s="14">
        <v>52</v>
      </c>
      <c r="B86" s="14" t="s">
        <v>24</v>
      </c>
      <c r="C86" s="14" t="s">
        <v>30</v>
      </c>
      <c r="D86" s="15" t="s">
        <v>101</v>
      </c>
      <c r="E86" s="14">
        <v>24</v>
      </c>
      <c r="F86" s="16">
        <v>250000</v>
      </c>
    </row>
    <row r="87" spans="1:6" ht="15" customHeight="1" x14ac:dyDescent="0.35">
      <c r="A87" s="11">
        <v>29</v>
      </c>
      <c r="B87" s="11" t="s">
        <v>27</v>
      </c>
      <c r="C87" s="11" t="s">
        <v>25</v>
      </c>
      <c r="D87" s="12" t="s">
        <v>102</v>
      </c>
      <c r="E87" s="11">
        <v>2</v>
      </c>
      <c r="F87" s="13">
        <v>40000</v>
      </c>
    </row>
    <row r="88" spans="1:6" ht="15" customHeight="1" x14ac:dyDescent="0.35">
      <c r="A88" s="14">
        <v>34</v>
      </c>
      <c r="B88" s="14" t="s">
        <v>27</v>
      </c>
      <c r="C88" s="14" t="s">
        <v>28</v>
      </c>
      <c r="D88" s="15" t="s">
        <v>103</v>
      </c>
      <c r="E88" s="14">
        <v>10</v>
      </c>
      <c r="F88" s="16">
        <v>95000</v>
      </c>
    </row>
    <row r="89" spans="1:6" ht="15" customHeight="1" x14ac:dyDescent="0.35">
      <c r="A89" s="11">
        <v>27</v>
      </c>
      <c r="B89" s="11" t="s">
        <v>24</v>
      </c>
      <c r="C89" s="11" t="s">
        <v>25</v>
      </c>
      <c r="D89" s="12" t="s">
        <v>104</v>
      </c>
      <c r="E89" s="11">
        <v>2</v>
      </c>
      <c r="F89" s="13">
        <v>45000</v>
      </c>
    </row>
    <row r="90" spans="1:6" ht="15" customHeight="1" x14ac:dyDescent="0.35">
      <c r="A90" s="14">
        <v>40</v>
      </c>
      <c r="B90" s="14" t="s">
        <v>27</v>
      </c>
      <c r="C90" s="14" t="s">
        <v>25</v>
      </c>
      <c r="D90" s="15" t="s">
        <v>64</v>
      </c>
      <c r="E90" s="14">
        <v>15</v>
      </c>
      <c r="F90" s="16">
        <v>80000</v>
      </c>
    </row>
    <row r="91" spans="1:6" ht="15" customHeight="1" x14ac:dyDescent="0.35">
      <c r="A91" s="11">
        <v>46</v>
      </c>
      <c r="B91" s="11" t="s">
        <v>24</v>
      </c>
      <c r="C91" s="11" t="s">
        <v>28</v>
      </c>
      <c r="D91" s="12" t="s">
        <v>105</v>
      </c>
      <c r="E91" s="11">
        <v>21</v>
      </c>
      <c r="F91" s="13">
        <v>135000</v>
      </c>
    </row>
    <row r="92" spans="1:6" ht="15" customHeight="1" x14ac:dyDescent="0.35">
      <c r="A92" s="14">
        <v>31</v>
      </c>
      <c r="B92" s="14" t="s">
        <v>27</v>
      </c>
      <c r="C92" s="14" t="s">
        <v>25</v>
      </c>
      <c r="D92" s="15" t="s">
        <v>37</v>
      </c>
      <c r="E92" s="14">
        <v>6</v>
      </c>
      <c r="F92" s="16">
        <v>55000</v>
      </c>
    </row>
    <row r="93" spans="1:6" ht="15" customHeight="1" x14ac:dyDescent="0.35">
      <c r="A93" s="11">
        <v>36</v>
      </c>
      <c r="B93" s="11" t="s">
        <v>24</v>
      </c>
      <c r="C93" s="11" t="s">
        <v>30</v>
      </c>
      <c r="D93" s="12" t="s">
        <v>106</v>
      </c>
      <c r="E93" s="11">
        <v>11</v>
      </c>
      <c r="F93" s="13">
        <v>120000</v>
      </c>
    </row>
    <row r="94" spans="1:6" ht="15" customHeight="1" x14ac:dyDescent="0.35">
      <c r="A94" s="14">
        <v>29</v>
      </c>
      <c r="B94" s="14" t="s">
        <v>27</v>
      </c>
      <c r="C94" s="14" t="s">
        <v>25</v>
      </c>
      <c r="D94" s="15" t="s">
        <v>32</v>
      </c>
      <c r="E94" s="14">
        <v>3</v>
      </c>
      <c r="F94" s="16">
        <v>40000</v>
      </c>
    </row>
    <row r="95" spans="1:6" ht="15" customHeight="1" x14ac:dyDescent="0.35">
      <c r="A95" s="11">
        <v>43</v>
      </c>
      <c r="B95" s="11" t="s">
        <v>24</v>
      </c>
      <c r="C95" s="11" t="s">
        <v>25</v>
      </c>
      <c r="D95" s="12" t="s">
        <v>107</v>
      </c>
      <c r="E95" s="11">
        <v>18</v>
      </c>
      <c r="F95" s="13">
        <v>105000</v>
      </c>
    </row>
    <row r="96" spans="1:6" ht="15" customHeight="1" x14ac:dyDescent="0.35">
      <c r="A96" s="14">
        <v>52</v>
      </c>
      <c r="B96" s="14" t="s">
        <v>27</v>
      </c>
      <c r="C96" s="14" t="s">
        <v>28</v>
      </c>
      <c r="D96" s="15" t="s">
        <v>108</v>
      </c>
      <c r="E96" s="14">
        <v>25</v>
      </c>
      <c r="F96" s="16">
        <v>170000</v>
      </c>
    </row>
    <row r="97" spans="1:6" ht="15" customHeight="1" x14ac:dyDescent="0.35">
      <c r="A97" s="11">
        <v>33</v>
      </c>
      <c r="B97" s="11" t="s">
        <v>24</v>
      </c>
      <c r="C97" s="11" t="s">
        <v>25</v>
      </c>
      <c r="D97" s="12" t="s">
        <v>49</v>
      </c>
      <c r="E97" s="11">
        <v>7</v>
      </c>
      <c r="F97" s="13">
        <v>75000</v>
      </c>
    </row>
    <row r="98" spans="1:6" ht="15" customHeight="1" x14ac:dyDescent="0.35">
      <c r="A98" s="14">
        <v>39</v>
      </c>
      <c r="B98" s="14" t="s">
        <v>27</v>
      </c>
      <c r="C98" s="14" t="s">
        <v>25</v>
      </c>
      <c r="D98" s="15" t="s">
        <v>109</v>
      </c>
      <c r="E98" s="14">
        <v>12</v>
      </c>
      <c r="F98" s="16">
        <v>65000</v>
      </c>
    </row>
    <row r="99" spans="1:6" ht="15" customHeight="1" x14ac:dyDescent="0.35">
      <c r="A99" s="11">
        <v>47</v>
      </c>
      <c r="B99" s="11" t="s">
        <v>24</v>
      </c>
      <c r="C99" s="11" t="s">
        <v>30</v>
      </c>
      <c r="D99" s="12" t="s">
        <v>110</v>
      </c>
      <c r="E99" s="11">
        <v>22</v>
      </c>
      <c r="F99" s="13">
        <v>160000</v>
      </c>
    </row>
    <row r="100" spans="1:6" ht="15" customHeight="1" x14ac:dyDescent="0.35">
      <c r="A100" s="14">
        <v>26</v>
      </c>
      <c r="B100" s="14" t="s">
        <v>24</v>
      </c>
      <c r="C100" s="14" t="s">
        <v>25</v>
      </c>
      <c r="D100" s="15" t="s">
        <v>111</v>
      </c>
      <c r="E100" s="14">
        <v>1</v>
      </c>
      <c r="F100" s="16">
        <v>35000</v>
      </c>
    </row>
    <row r="101" spans="1:6" ht="15" customHeight="1" x14ac:dyDescent="0.35">
      <c r="A101" s="11">
        <v>38</v>
      </c>
      <c r="B101" s="11" t="s">
        <v>27</v>
      </c>
      <c r="C101" s="11" t="s">
        <v>28</v>
      </c>
      <c r="D101" s="12" t="s">
        <v>112</v>
      </c>
      <c r="E101" s="11">
        <v>10</v>
      </c>
      <c r="F101" s="13">
        <v>90000</v>
      </c>
    </row>
    <row r="102" spans="1:6" ht="15" customHeight="1" x14ac:dyDescent="0.35">
      <c r="A102" s="14">
        <v>45</v>
      </c>
      <c r="B102" s="14" t="s">
        <v>24</v>
      </c>
      <c r="C102" s="14" t="s">
        <v>25</v>
      </c>
      <c r="D102" s="15" t="s">
        <v>113</v>
      </c>
      <c r="E102" s="14">
        <v>20</v>
      </c>
      <c r="F102" s="16">
        <v>110000</v>
      </c>
    </row>
    <row r="103" spans="1:6" ht="15" customHeight="1" x14ac:dyDescent="0.35">
      <c r="A103" s="11">
        <v>31</v>
      </c>
      <c r="B103" s="11" t="s">
        <v>27</v>
      </c>
      <c r="C103" s="11" t="s">
        <v>25</v>
      </c>
      <c r="D103" s="12" t="s">
        <v>79</v>
      </c>
      <c r="E103" s="11">
        <v>5</v>
      </c>
      <c r="F103" s="13">
        <v>45000</v>
      </c>
    </row>
    <row r="104" spans="1:6" ht="15" customHeight="1" x14ac:dyDescent="0.35">
      <c r="A104" s="14">
        <v>35</v>
      </c>
      <c r="B104" s="14" t="s">
        <v>24</v>
      </c>
      <c r="C104" s="14" t="s">
        <v>28</v>
      </c>
      <c r="D104" s="15" t="s">
        <v>114</v>
      </c>
      <c r="E104" s="14">
        <v>8</v>
      </c>
      <c r="F104" s="16">
        <v>95000</v>
      </c>
    </row>
    <row r="105" spans="1:6" ht="15" customHeight="1" x14ac:dyDescent="0.35">
      <c r="A105" s="11">
        <v>49</v>
      </c>
      <c r="B105" s="11" t="s">
        <v>27</v>
      </c>
      <c r="C105" s="11" t="s">
        <v>28</v>
      </c>
      <c r="D105" s="12" t="s">
        <v>115</v>
      </c>
      <c r="E105" s="11">
        <v>19</v>
      </c>
      <c r="F105" s="13">
        <v>150000</v>
      </c>
    </row>
    <row r="106" spans="1:6" ht="15" customHeight="1" x14ac:dyDescent="0.35">
      <c r="A106" s="14">
        <v>33</v>
      </c>
      <c r="B106" s="14" t="s">
        <v>24</v>
      </c>
      <c r="C106" s="14" t="s">
        <v>25</v>
      </c>
      <c r="D106" s="15" t="s">
        <v>116</v>
      </c>
      <c r="E106" s="14">
        <v>5</v>
      </c>
      <c r="F106" s="16">
        <v>50000</v>
      </c>
    </row>
    <row r="107" spans="1:6" ht="15" customHeight="1" x14ac:dyDescent="0.35">
      <c r="A107" s="11">
        <v>39</v>
      </c>
      <c r="B107" s="11" t="s">
        <v>27</v>
      </c>
      <c r="C107" s="11" t="s">
        <v>28</v>
      </c>
      <c r="D107" s="12" t="s">
        <v>117</v>
      </c>
      <c r="E107" s="11">
        <v>13</v>
      </c>
      <c r="F107" s="13">
        <v>80000</v>
      </c>
    </row>
    <row r="108" spans="1:6" ht="15" customHeight="1" x14ac:dyDescent="0.35">
      <c r="A108" s="14">
        <v>44</v>
      </c>
      <c r="B108" s="14" t="s">
        <v>24</v>
      </c>
      <c r="C108" s="14" t="s">
        <v>30</v>
      </c>
      <c r="D108" s="15" t="s">
        <v>118</v>
      </c>
      <c r="E108" s="14">
        <v>16</v>
      </c>
      <c r="F108" s="16">
        <v>220000</v>
      </c>
    </row>
    <row r="109" spans="1:6" ht="15" customHeight="1" x14ac:dyDescent="0.35">
      <c r="A109" s="11">
        <v>30</v>
      </c>
      <c r="B109" s="11" t="s">
        <v>27</v>
      </c>
      <c r="C109" s="11" t="s">
        <v>25</v>
      </c>
      <c r="D109" s="12" t="s">
        <v>119</v>
      </c>
      <c r="E109" s="11">
        <v>3</v>
      </c>
      <c r="F109" s="13">
        <v>50000</v>
      </c>
    </row>
    <row r="110" spans="1:6" ht="15" customHeight="1" x14ac:dyDescent="0.35">
      <c r="A110" s="14">
        <v>36</v>
      </c>
      <c r="B110" s="14" t="s">
        <v>24</v>
      </c>
      <c r="C110" s="14" t="s">
        <v>25</v>
      </c>
      <c r="D110" s="15" t="s">
        <v>120</v>
      </c>
      <c r="E110" s="14">
        <v>7</v>
      </c>
      <c r="F110" s="16">
        <v>60000</v>
      </c>
    </row>
    <row r="111" spans="1:6" ht="15" customHeight="1" x14ac:dyDescent="0.35">
      <c r="A111" s="11">
        <v>41</v>
      </c>
      <c r="B111" s="11" t="s">
        <v>27</v>
      </c>
      <c r="C111" s="11" t="s">
        <v>28</v>
      </c>
      <c r="D111" s="12" t="s">
        <v>121</v>
      </c>
      <c r="E111" s="11">
        <v>14</v>
      </c>
      <c r="F111" s="13">
        <v>100000</v>
      </c>
    </row>
    <row r="112" spans="1:6" ht="15" customHeight="1" x14ac:dyDescent="0.35">
      <c r="A112" s="14">
        <v>28</v>
      </c>
      <c r="B112" s="14" t="s">
        <v>24</v>
      </c>
      <c r="C112" s="14" t="s">
        <v>25</v>
      </c>
      <c r="D112" s="15" t="s">
        <v>122</v>
      </c>
      <c r="E112" s="14">
        <v>2</v>
      </c>
      <c r="F112" s="16">
        <v>40000</v>
      </c>
    </row>
    <row r="113" spans="1:6" ht="15" customHeight="1" x14ac:dyDescent="0.35">
      <c r="A113" s="11">
        <v>42</v>
      </c>
      <c r="B113" s="11" t="s">
        <v>27</v>
      </c>
      <c r="C113" s="11" t="s">
        <v>28</v>
      </c>
      <c r="D113" s="12" t="s">
        <v>123</v>
      </c>
      <c r="E113" s="11">
        <v>15</v>
      </c>
      <c r="F113" s="13">
        <v>110000</v>
      </c>
    </row>
    <row r="114" spans="1:6" ht="15" customHeight="1" x14ac:dyDescent="0.35">
      <c r="A114" s="14">
        <v>37</v>
      </c>
      <c r="B114" s="14" t="s">
        <v>24</v>
      </c>
      <c r="C114" s="14" t="s">
        <v>25</v>
      </c>
      <c r="D114" s="15" t="s">
        <v>124</v>
      </c>
      <c r="E114" s="14">
        <v>9</v>
      </c>
      <c r="F114" s="16">
        <v>95000</v>
      </c>
    </row>
    <row r="115" spans="1:6" ht="15" customHeight="1" x14ac:dyDescent="0.35">
      <c r="A115" s="11">
        <v>50</v>
      </c>
      <c r="B115" s="11" t="s">
        <v>27</v>
      </c>
      <c r="C115" s="11" t="s">
        <v>25</v>
      </c>
      <c r="D115" s="12" t="s">
        <v>125</v>
      </c>
      <c r="E115" s="11">
        <v>22</v>
      </c>
      <c r="F115" s="13">
        <v>130000</v>
      </c>
    </row>
    <row r="116" spans="1:6" ht="15" customHeight="1" x14ac:dyDescent="0.35">
      <c r="A116" s="14">
        <v>32</v>
      </c>
      <c r="B116" s="14" t="s">
        <v>24</v>
      </c>
      <c r="C116" s="14" t="s">
        <v>28</v>
      </c>
      <c r="D116" s="15" t="s">
        <v>126</v>
      </c>
      <c r="E116" s="14">
        <v>6</v>
      </c>
      <c r="F116" s="16">
        <v>90000</v>
      </c>
    </row>
    <row r="117" spans="1:6" ht="15" customHeight="1" x14ac:dyDescent="0.35">
      <c r="A117" s="11">
        <v>23</v>
      </c>
      <c r="B117" s="11" t="s">
        <v>27</v>
      </c>
      <c r="C117" s="11" t="s">
        <v>25</v>
      </c>
      <c r="D117" s="12" t="s">
        <v>127</v>
      </c>
      <c r="E117" s="11">
        <v>0.5</v>
      </c>
      <c r="F117" s="13">
        <v>35000</v>
      </c>
    </row>
    <row r="118" spans="1:6" ht="15" customHeight="1" x14ac:dyDescent="0.35">
      <c r="A118" s="14">
        <v>31</v>
      </c>
      <c r="B118" s="14" t="s">
        <v>24</v>
      </c>
      <c r="C118" s="14" t="s">
        <v>28</v>
      </c>
      <c r="D118" s="15" t="s">
        <v>91</v>
      </c>
      <c r="E118" s="14">
        <v>6</v>
      </c>
      <c r="F118" s="16">
        <v>95000</v>
      </c>
    </row>
    <row r="119" spans="1:6" ht="15" customHeight="1" x14ac:dyDescent="0.35">
      <c r="A119" s="11">
        <v>40</v>
      </c>
      <c r="B119" s="11" t="s">
        <v>27</v>
      </c>
      <c r="C119" s="11" t="s">
        <v>25</v>
      </c>
      <c r="D119" s="12" t="s">
        <v>128</v>
      </c>
      <c r="E119" s="11">
        <v>15</v>
      </c>
      <c r="F119" s="13">
        <v>65000</v>
      </c>
    </row>
    <row r="120" spans="1:6" ht="15" customHeight="1" x14ac:dyDescent="0.35">
      <c r="A120" s="14">
        <v>48</v>
      </c>
      <c r="B120" s="14" t="s">
        <v>24</v>
      </c>
      <c r="C120" s="14" t="s">
        <v>30</v>
      </c>
      <c r="D120" s="15" t="s">
        <v>129</v>
      </c>
      <c r="E120" s="14">
        <v>20</v>
      </c>
      <c r="F120" s="16">
        <v>170000</v>
      </c>
    </row>
    <row r="121" spans="1:6" ht="15" customHeight="1" x14ac:dyDescent="0.35">
      <c r="A121" s="11">
        <v>29</v>
      </c>
      <c r="B121" s="11" t="s">
        <v>27</v>
      </c>
      <c r="C121" s="11" t="s">
        <v>25</v>
      </c>
      <c r="D121" s="12" t="s">
        <v>130</v>
      </c>
      <c r="E121" s="11">
        <v>3</v>
      </c>
      <c r="F121" s="13">
        <v>45000</v>
      </c>
    </row>
    <row r="122" spans="1:6" ht="15" customHeight="1" x14ac:dyDescent="0.35">
      <c r="A122" s="14">
        <v>35</v>
      </c>
      <c r="B122" s="14" t="s">
        <v>24</v>
      </c>
      <c r="C122" s="14" t="s">
        <v>28</v>
      </c>
      <c r="D122" s="15" t="s">
        <v>131</v>
      </c>
      <c r="E122" s="14">
        <v>10</v>
      </c>
      <c r="F122" s="16">
        <v>120000</v>
      </c>
    </row>
    <row r="123" spans="1:6" ht="15" customHeight="1" x14ac:dyDescent="0.35">
      <c r="A123" s="11">
        <v>42</v>
      </c>
      <c r="B123" s="11" t="s">
        <v>27</v>
      </c>
      <c r="C123" s="11" t="s">
        <v>25</v>
      </c>
      <c r="D123" s="12" t="s">
        <v>36</v>
      </c>
      <c r="E123" s="11">
        <v>17</v>
      </c>
      <c r="F123" s="13">
        <v>100000</v>
      </c>
    </row>
    <row r="124" spans="1:6" ht="15" customHeight="1" x14ac:dyDescent="0.35">
      <c r="A124" s="14">
        <v>53</v>
      </c>
      <c r="B124" s="14" t="s">
        <v>24</v>
      </c>
      <c r="C124" s="14" t="s">
        <v>28</v>
      </c>
      <c r="D124" s="15" t="s">
        <v>75</v>
      </c>
      <c r="E124" s="14">
        <v>25</v>
      </c>
      <c r="F124" s="16">
        <v>180000</v>
      </c>
    </row>
    <row r="125" spans="1:6" ht="15" customHeight="1" x14ac:dyDescent="0.35">
      <c r="A125" s="11">
        <v>33</v>
      </c>
      <c r="B125" s="11" t="s">
        <v>27</v>
      </c>
      <c r="C125" s="11" t="s">
        <v>25</v>
      </c>
      <c r="D125" s="12" t="s">
        <v>132</v>
      </c>
      <c r="E125" s="11">
        <v>5</v>
      </c>
      <c r="F125" s="13">
        <v>50000</v>
      </c>
    </row>
    <row r="126" spans="1:6" ht="15" customHeight="1" x14ac:dyDescent="0.35">
      <c r="A126" s="14">
        <v>38</v>
      </c>
      <c r="B126" s="14" t="s">
        <v>24</v>
      </c>
      <c r="C126" s="14" t="s">
        <v>25</v>
      </c>
      <c r="D126" s="15" t="s">
        <v>77</v>
      </c>
      <c r="E126" s="14">
        <v>11</v>
      </c>
      <c r="F126" s="16">
        <v>80000</v>
      </c>
    </row>
    <row r="127" spans="1:6" ht="15" customHeight="1" x14ac:dyDescent="0.35">
      <c r="A127" s="11">
        <v>44</v>
      </c>
      <c r="B127" s="11" t="s">
        <v>27</v>
      </c>
      <c r="C127" s="11" t="s">
        <v>30</v>
      </c>
      <c r="D127" s="12" t="s">
        <v>38</v>
      </c>
      <c r="E127" s="11">
        <v>16</v>
      </c>
      <c r="F127" s="13">
        <v>140000</v>
      </c>
    </row>
    <row r="128" spans="1:6" ht="15" customHeight="1" x14ac:dyDescent="0.35">
      <c r="A128" s="14">
        <v>26</v>
      </c>
      <c r="B128" s="14" t="s">
        <v>24</v>
      </c>
      <c r="C128" s="14" t="s">
        <v>25</v>
      </c>
      <c r="D128" s="15" t="s">
        <v>86</v>
      </c>
      <c r="E128" s="14">
        <v>2</v>
      </c>
      <c r="F128" s="16">
        <v>40000</v>
      </c>
    </row>
    <row r="129" spans="1:6" ht="15" customHeight="1" x14ac:dyDescent="0.35">
      <c r="A129" s="11">
        <v>37</v>
      </c>
      <c r="B129" s="11" t="s">
        <v>27</v>
      </c>
      <c r="C129" s="11" t="s">
        <v>28</v>
      </c>
      <c r="D129" s="12" t="s">
        <v>133</v>
      </c>
      <c r="E129" s="11">
        <v>9</v>
      </c>
      <c r="F129" s="13">
        <v>95000</v>
      </c>
    </row>
    <row r="130" spans="1:6" ht="15" customHeight="1" x14ac:dyDescent="0.35">
      <c r="A130" s="14">
        <v>45</v>
      </c>
      <c r="B130" s="14" t="s">
        <v>24</v>
      </c>
      <c r="C130" s="14" t="s">
        <v>25</v>
      </c>
      <c r="D130" s="15" t="s">
        <v>134</v>
      </c>
      <c r="E130" s="14">
        <v>18</v>
      </c>
      <c r="F130" s="16">
        <v>110000</v>
      </c>
    </row>
    <row r="131" spans="1:6" ht="15" customHeight="1" x14ac:dyDescent="0.35">
      <c r="A131" s="11">
        <v>32</v>
      </c>
      <c r="B131" s="11" t="s">
        <v>27</v>
      </c>
      <c r="C131" s="11" t="s">
        <v>25</v>
      </c>
      <c r="D131" s="12" t="s">
        <v>37</v>
      </c>
      <c r="E131" s="11">
        <v>4</v>
      </c>
      <c r="F131" s="13">
        <v>50000</v>
      </c>
    </row>
    <row r="132" spans="1:6" ht="15" customHeight="1" x14ac:dyDescent="0.35">
      <c r="A132" s="14">
        <v>34</v>
      </c>
      <c r="B132" s="14" t="s">
        <v>24</v>
      </c>
      <c r="C132" s="14" t="s">
        <v>28</v>
      </c>
      <c r="D132" s="15" t="s">
        <v>135</v>
      </c>
      <c r="E132" s="14">
        <v>8</v>
      </c>
      <c r="F132" s="16">
        <v>105000</v>
      </c>
    </row>
    <row r="133" spans="1:6" ht="15" customHeight="1" x14ac:dyDescent="0.35">
      <c r="A133" s="11">
        <v>50</v>
      </c>
      <c r="B133" s="11" t="s">
        <v>27</v>
      </c>
      <c r="C133" s="11" t="s">
        <v>28</v>
      </c>
      <c r="D133" s="12" t="s">
        <v>84</v>
      </c>
      <c r="E133" s="11">
        <v>21</v>
      </c>
      <c r="F133" s="13">
        <v>160000</v>
      </c>
    </row>
    <row r="134" spans="1:6" ht="15" customHeight="1" x14ac:dyDescent="0.35">
      <c r="A134" s="14">
        <v>29</v>
      </c>
      <c r="B134" s="14" t="s">
        <v>24</v>
      </c>
      <c r="C134" s="14" t="s">
        <v>25</v>
      </c>
      <c r="D134" s="15" t="s">
        <v>136</v>
      </c>
      <c r="E134" s="14">
        <v>3</v>
      </c>
      <c r="F134" s="16">
        <v>45000</v>
      </c>
    </row>
    <row r="135" spans="1:6" ht="15" customHeight="1" x14ac:dyDescent="0.35">
      <c r="A135" s="11">
        <v>40</v>
      </c>
      <c r="B135" s="11" t="s">
        <v>27</v>
      </c>
      <c r="C135" s="11" t="s">
        <v>28</v>
      </c>
      <c r="D135" s="12" t="s">
        <v>137</v>
      </c>
      <c r="E135" s="11">
        <v>12</v>
      </c>
      <c r="F135" s="13">
        <v>100000</v>
      </c>
    </row>
    <row r="136" spans="1:6" ht="15" customHeight="1" x14ac:dyDescent="0.35">
      <c r="A136" s="14">
        <v>47</v>
      </c>
      <c r="B136" s="14" t="s">
        <v>24</v>
      </c>
      <c r="C136" s="14" t="s">
        <v>30</v>
      </c>
      <c r="D136" s="15" t="s">
        <v>138</v>
      </c>
      <c r="E136" s="14">
        <v>22</v>
      </c>
      <c r="F136" s="16">
        <v>160000</v>
      </c>
    </row>
    <row r="137" spans="1:6" ht="15" customHeight="1" x14ac:dyDescent="0.35">
      <c r="A137" s="11">
        <v>27</v>
      </c>
      <c r="B137" s="11" t="s">
        <v>24</v>
      </c>
      <c r="C137" s="11" t="s">
        <v>25</v>
      </c>
      <c r="D137" s="12" t="s">
        <v>139</v>
      </c>
      <c r="E137" s="11">
        <v>1</v>
      </c>
      <c r="F137" s="13">
        <v>35000</v>
      </c>
    </row>
    <row r="138" spans="1:6" ht="15" customHeight="1" x14ac:dyDescent="0.35">
      <c r="A138" s="14">
        <v>39</v>
      </c>
      <c r="B138" s="14" t="s">
        <v>27</v>
      </c>
      <c r="C138" s="14" t="s">
        <v>25</v>
      </c>
      <c r="D138" s="15" t="s">
        <v>71</v>
      </c>
      <c r="E138" s="14">
        <v>10</v>
      </c>
      <c r="F138" s="16">
        <v>55000</v>
      </c>
    </row>
    <row r="139" spans="1:6" ht="15" customHeight="1" x14ac:dyDescent="0.35">
      <c r="A139" s="11">
        <v>46</v>
      </c>
      <c r="B139" s="11" t="s">
        <v>24</v>
      </c>
      <c r="C139" s="11" t="s">
        <v>28</v>
      </c>
      <c r="D139" s="12" t="s">
        <v>105</v>
      </c>
      <c r="E139" s="11">
        <v>19</v>
      </c>
      <c r="F139" s="13">
        <v>140000</v>
      </c>
    </row>
    <row r="140" spans="1:6" ht="15" customHeight="1" x14ac:dyDescent="0.35">
      <c r="A140" s="14">
        <v>30</v>
      </c>
      <c r="B140" s="14" t="s">
        <v>27</v>
      </c>
      <c r="C140" s="14" t="s">
        <v>25</v>
      </c>
      <c r="D140" s="15" t="s">
        <v>140</v>
      </c>
      <c r="E140" s="14">
        <v>4</v>
      </c>
      <c r="F140" s="16">
        <v>50000</v>
      </c>
    </row>
    <row r="141" spans="1:6" ht="15" customHeight="1" x14ac:dyDescent="0.35">
      <c r="A141" s="11">
        <v>36</v>
      </c>
      <c r="B141" s="11" t="s">
        <v>24</v>
      </c>
      <c r="C141" s="11" t="s">
        <v>25</v>
      </c>
      <c r="D141" s="12" t="s">
        <v>141</v>
      </c>
      <c r="E141" s="11">
        <v>7</v>
      </c>
      <c r="F141" s="13">
        <v>60000</v>
      </c>
    </row>
    <row r="142" spans="1:6" ht="15" customHeight="1" x14ac:dyDescent="0.35">
      <c r="A142" s="14">
        <v>43</v>
      </c>
      <c r="B142" s="14" t="s">
        <v>27</v>
      </c>
      <c r="C142" s="14" t="s">
        <v>28</v>
      </c>
      <c r="D142" s="15" t="s">
        <v>142</v>
      </c>
      <c r="E142" s="14">
        <v>14</v>
      </c>
      <c r="F142" s="16">
        <v>120000</v>
      </c>
    </row>
    <row r="143" spans="1:6" ht="15" customHeight="1" x14ac:dyDescent="0.35">
      <c r="A143" s="11">
        <v>28</v>
      </c>
      <c r="B143" s="11" t="s">
        <v>24</v>
      </c>
      <c r="C143" s="11" t="s">
        <v>25</v>
      </c>
      <c r="D143" s="12" t="s">
        <v>143</v>
      </c>
      <c r="E143" s="11">
        <v>2</v>
      </c>
      <c r="F143" s="13">
        <v>40000</v>
      </c>
    </row>
    <row r="144" spans="1:6" ht="15" customHeight="1" x14ac:dyDescent="0.35">
      <c r="A144" s="14">
        <v>41</v>
      </c>
      <c r="B144" s="14" t="s">
        <v>27</v>
      </c>
      <c r="C144" s="14" t="s">
        <v>28</v>
      </c>
      <c r="D144" s="15" t="s">
        <v>108</v>
      </c>
      <c r="E144" s="14">
        <v>13</v>
      </c>
      <c r="F144" s="16">
        <v>110000</v>
      </c>
    </row>
    <row r="145" spans="1:6" ht="15" customHeight="1" x14ac:dyDescent="0.35">
      <c r="A145" s="11">
        <v>33</v>
      </c>
      <c r="B145" s="11" t="s">
        <v>24</v>
      </c>
      <c r="C145" s="11" t="s">
        <v>25</v>
      </c>
      <c r="D145" s="12" t="s">
        <v>111</v>
      </c>
      <c r="E145" s="11">
        <v>5</v>
      </c>
      <c r="F145" s="13">
        <v>50000</v>
      </c>
    </row>
    <row r="146" spans="1:6" ht="15" customHeight="1" x14ac:dyDescent="0.35">
      <c r="A146" s="14">
        <v>47</v>
      </c>
      <c r="B146" s="14" t="s">
        <v>24</v>
      </c>
      <c r="C146" s="14" t="s">
        <v>25</v>
      </c>
      <c r="D146" s="15" t="s">
        <v>144</v>
      </c>
      <c r="E146" s="14">
        <v>20</v>
      </c>
      <c r="F146" s="16">
        <v>135000</v>
      </c>
    </row>
    <row r="147" spans="1:6" ht="15" customHeight="1" x14ac:dyDescent="0.35">
      <c r="A147" s="11">
        <v>25</v>
      </c>
      <c r="B147" s="11" t="s">
        <v>27</v>
      </c>
      <c r="C147" s="11" t="s">
        <v>28</v>
      </c>
      <c r="D147" s="12" t="s">
        <v>145</v>
      </c>
      <c r="E147" s="11">
        <v>1.5</v>
      </c>
      <c r="F147" s="13">
        <v>40000</v>
      </c>
    </row>
    <row r="148" spans="1:6" ht="15" customHeight="1" x14ac:dyDescent="0.35">
      <c r="A148" s="14">
        <v>34</v>
      </c>
      <c r="B148" s="14" t="s">
        <v>24</v>
      </c>
      <c r="C148" s="14" t="s">
        <v>25</v>
      </c>
      <c r="D148" s="15" t="s">
        <v>126</v>
      </c>
      <c r="E148" s="14">
        <v>8</v>
      </c>
      <c r="F148" s="16">
        <v>90000</v>
      </c>
    </row>
    <row r="149" spans="1:6" ht="15" customHeight="1" x14ac:dyDescent="0.35">
      <c r="A149" s="11">
        <v>42</v>
      </c>
      <c r="B149" s="11" t="s">
        <v>27</v>
      </c>
      <c r="C149" s="11" t="s">
        <v>30</v>
      </c>
      <c r="D149" s="12" t="s">
        <v>85</v>
      </c>
      <c r="E149" s="11">
        <v>16</v>
      </c>
      <c r="F149" s="13">
        <v>150000</v>
      </c>
    </row>
    <row r="150" spans="1:6" ht="15" customHeight="1" x14ac:dyDescent="0.35">
      <c r="A150" s="14">
        <v>31</v>
      </c>
      <c r="B150" s="14" t="s">
        <v>24</v>
      </c>
      <c r="C150" s="14" t="s">
        <v>25</v>
      </c>
      <c r="D150" s="15" t="s">
        <v>146</v>
      </c>
      <c r="E150" s="14">
        <v>4</v>
      </c>
      <c r="F150" s="16">
        <v>60000</v>
      </c>
    </row>
    <row r="151" spans="1:6" ht="15" customHeight="1" x14ac:dyDescent="0.35">
      <c r="A151" s="11">
        <v>38</v>
      </c>
      <c r="B151" s="11" t="s">
        <v>27</v>
      </c>
      <c r="C151" s="11" t="s">
        <v>25</v>
      </c>
      <c r="D151" s="12" t="s">
        <v>147</v>
      </c>
      <c r="E151" s="11">
        <v>10</v>
      </c>
      <c r="F151" s="13">
        <v>80000</v>
      </c>
    </row>
    <row r="152" spans="1:6" ht="15" customHeight="1" x14ac:dyDescent="0.35">
      <c r="A152" s="14">
        <v>45</v>
      </c>
      <c r="B152" s="14" t="s">
        <v>24</v>
      </c>
      <c r="C152" s="14" t="s">
        <v>28</v>
      </c>
      <c r="D152" s="15" t="s">
        <v>148</v>
      </c>
      <c r="E152" s="14">
        <v>19</v>
      </c>
      <c r="F152" s="16">
        <v>175000</v>
      </c>
    </row>
    <row r="153" spans="1:6" ht="15" customHeight="1" x14ac:dyDescent="0.35">
      <c r="A153" s="11">
        <v>29</v>
      </c>
      <c r="B153" s="11" t="s">
        <v>27</v>
      </c>
      <c r="C153" s="11" t="s">
        <v>25</v>
      </c>
      <c r="D153" s="12" t="s">
        <v>149</v>
      </c>
      <c r="E153" s="11">
        <v>3</v>
      </c>
      <c r="F153" s="13">
        <v>45000</v>
      </c>
    </row>
    <row r="154" spans="1:6" ht="15" customHeight="1" x14ac:dyDescent="0.35">
      <c r="A154" s="14">
        <v>36</v>
      </c>
      <c r="B154" s="14" t="s">
        <v>24</v>
      </c>
      <c r="C154" s="14" t="s">
        <v>28</v>
      </c>
      <c r="D154" s="15" t="s">
        <v>150</v>
      </c>
      <c r="E154" s="14">
        <v>11</v>
      </c>
      <c r="F154" s="16">
        <v>120000</v>
      </c>
    </row>
    <row r="155" spans="1:6" ht="15" customHeight="1" x14ac:dyDescent="0.35">
      <c r="A155" s="11">
        <v>43</v>
      </c>
      <c r="B155" s="11" t="s">
        <v>27</v>
      </c>
      <c r="C155" s="11" t="s">
        <v>30</v>
      </c>
      <c r="D155" s="12" t="s">
        <v>151</v>
      </c>
      <c r="E155" s="11">
        <v>18</v>
      </c>
      <c r="F155" s="13">
        <v>140000</v>
      </c>
    </row>
    <row r="156" spans="1:6" ht="15" customHeight="1" x14ac:dyDescent="0.35">
      <c r="A156" s="14">
        <v>26</v>
      </c>
      <c r="B156" s="14" t="s">
        <v>24</v>
      </c>
      <c r="C156" s="14" t="s">
        <v>25</v>
      </c>
      <c r="D156" s="15" t="s">
        <v>152</v>
      </c>
      <c r="E156" s="14">
        <v>2</v>
      </c>
      <c r="F156" s="16">
        <v>35000</v>
      </c>
    </row>
    <row r="157" spans="1:6" ht="15" customHeight="1" x14ac:dyDescent="0.35">
      <c r="A157" s="11">
        <v>37</v>
      </c>
      <c r="B157" s="11" t="s">
        <v>27</v>
      </c>
      <c r="C157" s="11" t="s">
        <v>28</v>
      </c>
      <c r="D157" s="12" t="s">
        <v>121</v>
      </c>
      <c r="E157" s="11">
        <v>9</v>
      </c>
      <c r="F157" s="13">
        <v>95000</v>
      </c>
    </row>
    <row r="158" spans="1:6" ht="15" customHeight="1" x14ac:dyDescent="0.35">
      <c r="A158" s="14">
        <v>44</v>
      </c>
      <c r="B158" s="14" t="s">
        <v>24</v>
      </c>
      <c r="C158" s="14" t="s">
        <v>25</v>
      </c>
      <c r="D158" s="15" t="s">
        <v>153</v>
      </c>
      <c r="E158" s="14">
        <v>14</v>
      </c>
      <c r="F158" s="16">
        <v>110000</v>
      </c>
    </row>
    <row r="159" spans="1:6" ht="15" customHeight="1" x14ac:dyDescent="0.35">
      <c r="A159" s="11">
        <v>32</v>
      </c>
      <c r="B159" s="11" t="s">
        <v>27</v>
      </c>
      <c r="C159" s="11" t="s">
        <v>25</v>
      </c>
      <c r="D159" s="12" t="s">
        <v>154</v>
      </c>
      <c r="E159" s="11">
        <v>5</v>
      </c>
      <c r="F159" s="13">
        <v>50000</v>
      </c>
    </row>
    <row r="160" spans="1:6" ht="15" customHeight="1" x14ac:dyDescent="0.35">
      <c r="A160" s="14">
        <v>33</v>
      </c>
      <c r="B160" s="14" t="s">
        <v>24</v>
      </c>
      <c r="C160" s="14" t="s">
        <v>28</v>
      </c>
      <c r="D160" s="15" t="s">
        <v>155</v>
      </c>
      <c r="E160" s="14">
        <v>7</v>
      </c>
      <c r="F160" s="16">
        <v>115000</v>
      </c>
    </row>
    <row r="161" spans="1:6" ht="15" customHeight="1" x14ac:dyDescent="0.35">
      <c r="A161" s="11">
        <v>51</v>
      </c>
      <c r="B161" s="11" t="s">
        <v>27</v>
      </c>
      <c r="C161" s="11" t="s">
        <v>30</v>
      </c>
      <c r="D161" s="12" t="s">
        <v>156</v>
      </c>
      <c r="E161" s="11">
        <v>23</v>
      </c>
      <c r="F161" s="13">
        <v>185000</v>
      </c>
    </row>
    <row r="162" spans="1:6" ht="15" customHeight="1" x14ac:dyDescent="0.35">
      <c r="A162" s="14">
        <v>28</v>
      </c>
      <c r="B162" s="14" t="s">
        <v>24</v>
      </c>
      <c r="C162" s="14" t="s">
        <v>25</v>
      </c>
      <c r="D162" s="15" t="s">
        <v>157</v>
      </c>
      <c r="E162" s="14">
        <v>2</v>
      </c>
      <c r="F162" s="16">
        <v>40000</v>
      </c>
    </row>
    <row r="163" spans="1:6" ht="15" customHeight="1" x14ac:dyDescent="0.35">
      <c r="A163" s="11">
        <v>39</v>
      </c>
      <c r="B163" s="11" t="s">
        <v>27</v>
      </c>
      <c r="C163" s="11" t="s">
        <v>25</v>
      </c>
      <c r="D163" s="12" t="s">
        <v>158</v>
      </c>
      <c r="E163" s="11">
        <v>12</v>
      </c>
      <c r="F163" s="13">
        <v>90000</v>
      </c>
    </row>
    <row r="164" spans="1:6" ht="15" customHeight="1" x14ac:dyDescent="0.35">
      <c r="A164" s="14">
        <v>48</v>
      </c>
      <c r="B164" s="14" t="s">
        <v>24</v>
      </c>
      <c r="C164" s="14" t="s">
        <v>28</v>
      </c>
      <c r="D164" s="15" t="s">
        <v>159</v>
      </c>
      <c r="E164" s="14">
        <v>21</v>
      </c>
      <c r="F164" s="16">
        <v>175000</v>
      </c>
    </row>
    <row r="165" spans="1:6" ht="15" customHeight="1" x14ac:dyDescent="0.35">
      <c r="A165" s="11">
        <v>30</v>
      </c>
      <c r="B165" s="11" t="s">
        <v>27</v>
      </c>
      <c r="C165" s="11" t="s">
        <v>25</v>
      </c>
      <c r="D165" s="12" t="s">
        <v>160</v>
      </c>
      <c r="E165" s="11">
        <v>3</v>
      </c>
      <c r="F165" s="13">
        <v>45000</v>
      </c>
    </row>
    <row r="166" spans="1:6" ht="15" customHeight="1" x14ac:dyDescent="0.35">
      <c r="A166" s="14">
        <v>35</v>
      </c>
      <c r="B166" s="14" t="s">
        <v>24</v>
      </c>
      <c r="C166" s="14" t="s">
        <v>25</v>
      </c>
      <c r="D166" s="15" t="s">
        <v>161</v>
      </c>
      <c r="E166" s="14">
        <v>7</v>
      </c>
      <c r="F166" s="16">
        <v>80000</v>
      </c>
    </row>
    <row r="167" spans="1:6" ht="15" customHeight="1" x14ac:dyDescent="0.35">
      <c r="A167" s="11">
        <v>41</v>
      </c>
      <c r="B167" s="11" t="s">
        <v>27</v>
      </c>
      <c r="C167" s="11" t="s">
        <v>28</v>
      </c>
      <c r="D167" s="12" t="s">
        <v>162</v>
      </c>
      <c r="E167" s="11">
        <v>13</v>
      </c>
      <c r="F167" s="13">
        <v>120000</v>
      </c>
    </row>
    <row r="168" spans="1:6" ht="15" customHeight="1" x14ac:dyDescent="0.35">
      <c r="A168" s="14">
        <v>27</v>
      </c>
      <c r="B168" s="14" t="s">
        <v>24</v>
      </c>
      <c r="C168" s="14" t="s">
        <v>25</v>
      </c>
      <c r="D168" s="15" t="s">
        <v>163</v>
      </c>
      <c r="E168" s="14">
        <v>1.5</v>
      </c>
      <c r="F168" s="16">
        <v>35000</v>
      </c>
    </row>
    <row r="169" spans="1:6" ht="15" customHeight="1" x14ac:dyDescent="0.35">
      <c r="A169" s="11">
        <v>40</v>
      </c>
      <c r="B169" s="11" t="s">
        <v>27</v>
      </c>
      <c r="C169" s="11" t="s">
        <v>25</v>
      </c>
      <c r="D169" s="12" t="s">
        <v>164</v>
      </c>
      <c r="E169" s="11">
        <v>14</v>
      </c>
      <c r="F169" s="13">
        <v>110000</v>
      </c>
    </row>
    <row r="170" spans="1:6" ht="15" customHeight="1" x14ac:dyDescent="0.35">
      <c r="A170" s="14">
        <v>46</v>
      </c>
      <c r="B170" s="14" t="s">
        <v>24</v>
      </c>
      <c r="C170" s="14" t="s">
        <v>30</v>
      </c>
      <c r="D170" s="15" t="s">
        <v>165</v>
      </c>
      <c r="E170" s="14">
        <v>18</v>
      </c>
      <c r="F170" s="16">
        <v>150000</v>
      </c>
    </row>
    <row r="171" spans="1:6" ht="15" customHeight="1" x14ac:dyDescent="0.35">
      <c r="A171" s="11">
        <v>31</v>
      </c>
      <c r="B171" s="11" t="s">
        <v>27</v>
      </c>
      <c r="C171" s="11" t="s">
        <v>25</v>
      </c>
      <c r="D171" s="12" t="s">
        <v>166</v>
      </c>
      <c r="E171" s="11">
        <v>4</v>
      </c>
      <c r="F171" s="13">
        <v>50000</v>
      </c>
    </row>
    <row r="172" spans="1:6" ht="15" customHeight="1" x14ac:dyDescent="0.35">
      <c r="A172" s="14">
        <v>34</v>
      </c>
      <c r="B172" s="14" t="s">
        <v>24</v>
      </c>
      <c r="C172" s="14" t="s">
        <v>28</v>
      </c>
      <c r="D172" s="15" t="s">
        <v>96</v>
      </c>
      <c r="E172" s="14">
        <v>9</v>
      </c>
      <c r="F172" s="16">
        <v>105000</v>
      </c>
    </row>
    <row r="173" spans="1:6" ht="15" customHeight="1" x14ac:dyDescent="0.35">
      <c r="A173" s="11">
        <v>50</v>
      </c>
      <c r="B173" s="11" t="s">
        <v>27</v>
      </c>
      <c r="C173" s="11" t="s">
        <v>28</v>
      </c>
      <c r="D173" s="12" t="s">
        <v>167</v>
      </c>
      <c r="E173" s="11">
        <v>20</v>
      </c>
      <c r="F173" s="13">
        <v>180000</v>
      </c>
    </row>
    <row r="174" spans="1:6" ht="15" customHeight="1" x14ac:dyDescent="0.35">
      <c r="A174" s="14">
        <v>29</v>
      </c>
      <c r="B174" s="14" t="s">
        <v>24</v>
      </c>
      <c r="C174" s="14" t="s">
        <v>25</v>
      </c>
      <c r="D174" s="15" t="s">
        <v>168</v>
      </c>
      <c r="E174" s="14">
        <v>2</v>
      </c>
      <c r="F174" s="16">
        <v>40000</v>
      </c>
    </row>
    <row r="175" spans="1:6" ht="15" customHeight="1" x14ac:dyDescent="0.35">
      <c r="A175" s="11">
        <v>43</v>
      </c>
      <c r="B175" s="11" t="s">
        <v>24</v>
      </c>
      <c r="C175" s="11" t="s">
        <v>25</v>
      </c>
      <c r="D175" s="12" t="s">
        <v>105</v>
      </c>
      <c r="E175" s="11">
        <v>16</v>
      </c>
      <c r="F175" s="13">
        <v>140000</v>
      </c>
    </row>
    <row r="176" spans="1:6" ht="15" customHeight="1" x14ac:dyDescent="0.35">
      <c r="A176" s="14">
        <v>26</v>
      </c>
      <c r="B176" s="14" t="s">
        <v>27</v>
      </c>
      <c r="C176" s="14" t="s">
        <v>28</v>
      </c>
      <c r="D176" s="15" t="s">
        <v>169</v>
      </c>
      <c r="E176" s="14">
        <v>1.5</v>
      </c>
      <c r="F176" s="16">
        <v>45000</v>
      </c>
    </row>
    <row r="177" spans="1:6" ht="15" customHeight="1" x14ac:dyDescent="0.35">
      <c r="A177" s="11">
        <v>35</v>
      </c>
      <c r="B177" s="11" t="s">
        <v>24</v>
      </c>
      <c r="C177" s="11" t="s">
        <v>25</v>
      </c>
      <c r="D177" s="12" t="s">
        <v>170</v>
      </c>
      <c r="E177" s="11">
        <v>7</v>
      </c>
      <c r="F177" s="13">
        <v>85000</v>
      </c>
    </row>
    <row r="178" spans="1:6" ht="15" customHeight="1" x14ac:dyDescent="0.35">
      <c r="A178" s="14">
        <v>42</v>
      </c>
      <c r="B178" s="14" t="s">
        <v>27</v>
      </c>
      <c r="C178" s="14" t="s">
        <v>30</v>
      </c>
      <c r="D178" s="15" t="s">
        <v>108</v>
      </c>
      <c r="E178" s="14">
        <v>18</v>
      </c>
      <c r="F178" s="16">
        <v>140000</v>
      </c>
    </row>
    <row r="179" spans="1:6" ht="15" customHeight="1" x14ac:dyDescent="0.35">
      <c r="A179" s="11">
        <v>31</v>
      </c>
      <c r="B179" s="11" t="s">
        <v>24</v>
      </c>
      <c r="C179" s="11" t="s">
        <v>25</v>
      </c>
      <c r="D179" s="12" t="s">
        <v>86</v>
      </c>
      <c r="E179" s="11">
        <v>4</v>
      </c>
      <c r="F179" s="13">
        <v>50000</v>
      </c>
    </row>
    <row r="180" spans="1:6" ht="15" customHeight="1" x14ac:dyDescent="0.35">
      <c r="A180" s="14">
        <v>38</v>
      </c>
      <c r="B180" s="14" t="s">
        <v>27</v>
      </c>
      <c r="C180" s="14" t="s">
        <v>25</v>
      </c>
      <c r="D180" s="15" t="s">
        <v>171</v>
      </c>
      <c r="E180" s="14">
        <v>10</v>
      </c>
      <c r="F180" s="16">
        <v>80000</v>
      </c>
    </row>
    <row r="181" spans="1:6" ht="15" customHeight="1" x14ac:dyDescent="0.35">
      <c r="A181" s="11">
        <v>46</v>
      </c>
      <c r="B181" s="11" t="s">
        <v>24</v>
      </c>
      <c r="C181" s="11" t="s">
        <v>28</v>
      </c>
      <c r="D181" s="12" t="s">
        <v>84</v>
      </c>
      <c r="E181" s="11">
        <v>20</v>
      </c>
      <c r="F181" s="13">
        <v>170000</v>
      </c>
    </row>
    <row r="182" spans="1:6" ht="15" customHeight="1" x14ac:dyDescent="0.35">
      <c r="A182" s="14">
        <v>29</v>
      </c>
      <c r="B182" s="14" t="s">
        <v>27</v>
      </c>
      <c r="C182" s="14" t="s">
        <v>25</v>
      </c>
      <c r="D182" s="15" t="s">
        <v>139</v>
      </c>
      <c r="E182" s="14">
        <v>2</v>
      </c>
      <c r="F182" s="16">
        <v>40000</v>
      </c>
    </row>
    <row r="183" spans="1:6" ht="15" customHeight="1" x14ac:dyDescent="0.35">
      <c r="A183" s="11">
        <v>37</v>
      </c>
      <c r="B183" s="11" t="s">
        <v>24</v>
      </c>
      <c r="C183" s="11" t="s">
        <v>28</v>
      </c>
      <c r="D183" s="12" t="s">
        <v>126</v>
      </c>
      <c r="E183" s="11">
        <v>9</v>
      </c>
      <c r="F183" s="13">
        <v>105000</v>
      </c>
    </row>
    <row r="184" spans="1:6" ht="15" customHeight="1" x14ac:dyDescent="0.35">
      <c r="A184" s="14">
        <v>44</v>
      </c>
      <c r="B184" s="14" t="s">
        <v>27</v>
      </c>
      <c r="C184" s="14" t="s">
        <v>30</v>
      </c>
      <c r="D184" s="15" t="s">
        <v>172</v>
      </c>
      <c r="E184" s="14">
        <v>15</v>
      </c>
      <c r="F184" s="16">
        <v>145000</v>
      </c>
    </row>
    <row r="185" spans="1:6" ht="15" customHeight="1" x14ac:dyDescent="0.35">
      <c r="A185" s="11">
        <v>27</v>
      </c>
      <c r="B185" s="11" t="s">
        <v>24</v>
      </c>
      <c r="C185" s="11" t="s">
        <v>25</v>
      </c>
      <c r="D185" s="12" t="s">
        <v>173</v>
      </c>
      <c r="E185" s="11">
        <v>2</v>
      </c>
      <c r="F185" s="13">
        <v>40000</v>
      </c>
    </row>
    <row r="186" spans="1:6" ht="15" customHeight="1" x14ac:dyDescent="0.35">
      <c r="A186" s="14">
        <v>36</v>
      </c>
      <c r="B186" s="14" t="s">
        <v>27</v>
      </c>
      <c r="C186" s="14" t="s">
        <v>25</v>
      </c>
      <c r="D186" s="15" t="s">
        <v>174</v>
      </c>
      <c r="E186" s="14">
        <v>8</v>
      </c>
      <c r="F186" s="16">
        <v>85000</v>
      </c>
    </row>
    <row r="187" spans="1:6" ht="15" customHeight="1" x14ac:dyDescent="0.35">
      <c r="A187" s="11">
        <v>43</v>
      </c>
      <c r="B187" s="11" t="s">
        <v>24</v>
      </c>
      <c r="C187" s="11" t="s">
        <v>25</v>
      </c>
      <c r="D187" s="12" t="s">
        <v>175</v>
      </c>
      <c r="E187" s="11">
        <v>14</v>
      </c>
      <c r="F187" s="13">
        <v>130000</v>
      </c>
    </row>
    <row r="188" spans="1:6" ht="15" customHeight="1" x14ac:dyDescent="0.35">
      <c r="A188" s="14">
        <v>33</v>
      </c>
      <c r="B188" s="14" t="s">
        <v>27</v>
      </c>
      <c r="C188" s="14" t="s">
        <v>28</v>
      </c>
      <c r="D188" s="15" t="s">
        <v>91</v>
      </c>
      <c r="E188" s="14">
        <v>6</v>
      </c>
      <c r="F188" s="16">
        <v>95000</v>
      </c>
    </row>
    <row r="189" spans="1:6" ht="15" customHeight="1" x14ac:dyDescent="0.35">
      <c r="A189" s="11">
        <v>34</v>
      </c>
      <c r="B189" s="11" t="s">
        <v>24</v>
      </c>
      <c r="C189" s="11" t="s">
        <v>25</v>
      </c>
      <c r="D189" s="12" t="s">
        <v>176</v>
      </c>
      <c r="E189" s="11">
        <v>9</v>
      </c>
      <c r="F189" s="13">
        <v>100000</v>
      </c>
    </row>
    <row r="190" spans="1:6" ht="15" customHeight="1" x14ac:dyDescent="0.35">
      <c r="A190" s="14">
        <v>50</v>
      </c>
      <c r="B190" s="14" t="s">
        <v>27</v>
      </c>
      <c r="C190" s="14" t="s">
        <v>30</v>
      </c>
      <c r="D190" s="15" t="s">
        <v>177</v>
      </c>
      <c r="E190" s="14">
        <v>22</v>
      </c>
      <c r="F190" s="16">
        <v>180000</v>
      </c>
    </row>
    <row r="191" spans="1:6" ht="15" customHeight="1" x14ac:dyDescent="0.35">
      <c r="A191" s="11">
        <v>28</v>
      </c>
      <c r="B191" s="11" t="s">
        <v>24</v>
      </c>
      <c r="C191" s="11" t="s">
        <v>25</v>
      </c>
      <c r="D191" s="12" t="s">
        <v>132</v>
      </c>
      <c r="E191" s="11">
        <v>1.5</v>
      </c>
      <c r="F191" s="13">
        <v>35000</v>
      </c>
    </row>
    <row r="192" spans="1:6" ht="15" customHeight="1" x14ac:dyDescent="0.35">
      <c r="A192" s="14">
        <v>39</v>
      </c>
      <c r="B192" s="14" t="s">
        <v>27</v>
      </c>
      <c r="C192" s="14" t="s">
        <v>25</v>
      </c>
      <c r="D192" s="15" t="s">
        <v>178</v>
      </c>
      <c r="E192" s="14">
        <v>12</v>
      </c>
      <c r="F192" s="16">
        <v>95000</v>
      </c>
    </row>
    <row r="193" spans="1:6" ht="15" customHeight="1" x14ac:dyDescent="0.35">
      <c r="A193" s="11">
        <v>47</v>
      </c>
      <c r="B193" s="11" t="s">
        <v>24</v>
      </c>
      <c r="C193" s="11" t="s">
        <v>28</v>
      </c>
      <c r="D193" s="12" t="s">
        <v>179</v>
      </c>
      <c r="E193" s="11">
        <v>19</v>
      </c>
      <c r="F193" s="13">
        <v>170000</v>
      </c>
    </row>
    <row r="194" spans="1:6" ht="15" customHeight="1" x14ac:dyDescent="0.35">
      <c r="A194" s="14">
        <v>30</v>
      </c>
      <c r="B194" s="14" t="s">
        <v>27</v>
      </c>
      <c r="C194" s="14" t="s">
        <v>25</v>
      </c>
      <c r="D194" s="15" t="s">
        <v>180</v>
      </c>
      <c r="E194" s="14">
        <v>3</v>
      </c>
      <c r="F194" s="16">
        <v>45000</v>
      </c>
    </row>
    <row r="195" spans="1:6" ht="15" customHeight="1" x14ac:dyDescent="0.35">
      <c r="A195" s="11">
        <v>34</v>
      </c>
      <c r="B195" s="11" t="s">
        <v>24</v>
      </c>
      <c r="C195" s="11" t="s">
        <v>25</v>
      </c>
      <c r="D195" s="12" t="s">
        <v>131</v>
      </c>
      <c r="E195" s="11">
        <v>7</v>
      </c>
      <c r="F195" s="13">
        <v>95000</v>
      </c>
    </row>
    <row r="196" spans="1:6" ht="15" customHeight="1" x14ac:dyDescent="0.35">
      <c r="A196" s="14">
        <v>40</v>
      </c>
      <c r="B196" s="14" t="s">
        <v>27</v>
      </c>
      <c r="C196" s="14" t="s">
        <v>28</v>
      </c>
      <c r="D196" s="15" t="s">
        <v>181</v>
      </c>
      <c r="E196" s="14">
        <v>13</v>
      </c>
      <c r="F196" s="16">
        <v>120000</v>
      </c>
    </row>
    <row r="197" spans="1:6" ht="15" customHeight="1" x14ac:dyDescent="0.35">
      <c r="A197" s="11">
        <v>28</v>
      </c>
      <c r="B197" s="11" t="s">
        <v>24</v>
      </c>
      <c r="C197" s="11" t="s">
        <v>25</v>
      </c>
      <c r="D197" s="12" t="s">
        <v>143</v>
      </c>
      <c r="E197" s="11">
        <v>2</v>
      </c>
      <c r="F197" s="13">
        <v>40000</v>
      </c>
    </row>
    <row r="198" spans="1:6" ht="15" customHeight="1" x14ac:dyDescent="0.35">
      <c r="A198" s="14">
        <v>41</v>
      </c>
      <c r="B198" s="14" t="s">
        <v>27</v>
      </c>
      <c r="C198" s="14" t="s">
        <v>25</v>
      </c>
      <c r="D198" s="15" t="s">
        <v>161</v>
      </c>
      <c r="E198" s="14">
        <v>11</v>
      </c>
      <c r="F198" s="16">
        <v>90000</v>
      </c>
    </row>
    <row r="199" spans="1:6" ht="15" customHeight="1" x14ac:dyDescent="0.35">
      <c r="A199" s="11">
        <v>45</v>
      </c>
      <c r="B199" s="11" t="s">
        <v>24</v>
      </c>
      <c r="C199" s="11" t="s">
        <v>30</v>
      </c>
      <c r="D199" s="12" t="s">
        <v>182</v>
      </c>
      <c r="E199" s="11">
        <v>17</v>
      </c>
      <c r="F199" s="13">
        <v>155000</v>
      </c>
    </row>
    <row r="200" spans="1:6" ht="15" customHeight="1" x14ac:dyDescent="0.35">
      <c r="A200" s="14">
        <v>32</v>
      </c>
      <c r="B200" s="14" t="s">
        <v>27</v>
      </c>
      <c r="C200" s="14" t="s">
        <v>25</v>
      </c>
      <c r="D200" s="15" t="s">
        <v>104</v>
      </c>
      <c r="E200" s="14">
        <v>5</v>
      </c>
      <c r="F200" s="16">
        <v>55000</v>
      </c>
    </row>
    <row r="201" spans="1:6" ht="15" customHeight="1" x14ac:dyDescent="0.35">
      <c r="A201" s="11">
        <v>35</v>
      </c>
      <c r="B201" s="11" t="s">
        <v>24</v>
      </c>
      <c r="C201" s="11" t="s">
        <v>28</v>
      </c>
      <c r="D201" s="12" t="s">
        <v>135</v>
      </c>
      <c r="E201" s="11">
        <v>9</v>
      </c>
      <c r="F201" s="13">
        <v>110000</v>
      </c>
    </row>
    <row r="202" spans="1:6" ht="15" customHeight="1" x14ac:dyDescent="0.35">
      <c r="A202" s="14">
        <v>49</v>
      </c>
      <c r="B202" s="14" t="s">
        <v>27</v>
      </c>
      <c r="C202" s="14" t="s">
        <v>28</v>
      </c>
      <c r="D202" s="15" t="s">
        <v>183</v>
      </c>
      <c r="E202" s="14">
        <v>21</v>
      </c>
      <c r="F202" s="16">
        <v>180000</v>
      </c>
    </row>
    <row r="203" spans="1:6" ht="15" customHeight="1" x14ac:dyDescent="0.35">
      <c r="A203" s="11">
        <v>30</v>
      </c>
      <c r="B203" s="11" t="s">
        <v>24</v>
      </c>
      <c r="C203" s="11" t="s">
        <v>25</v>
      </c>
      <c r="D203" s="12" t="s">
        <v>184</v>
      </c>
      <c r="E203" s="11">
        <v>3</v>
      </c>
      <c r="F203" s="13">
        <v>45000</v>
      </c>
    </row>
    <row r="204" spans="1:6" ht="15" customHeight="1" x14ac:dyDescent="0.35">
      <c r="A204" s="14">
        <v>44</v>
      </c>
      <c r="B204" s="14" t="s">
        <v>24</v>
      </c>
      <c r="C204" s="14" t="s">
        <v>25</v>
      </c>
      <c r="D204" s="15" t="s">
        <v>144</v>
      </c>
      <c r="E204" s="14">
        <v>16</v>
      </c>
      <c r="F204" s="16">
        <v>130000</v>
      </c>
    </row>
    <row r="205" spans="1:6" ht="15" customHeight="1" x14ac:dyDescent="0.35">
      <c r="A205" s="11">
        <v>27</v>
      </c>
      <c r="B205" s="11" t="s">
        <v>27</v>
      </c>
      <c r="C205" s="11" t="s">
        <v>28</v>
      </c>
      <c r="D205" s="12" t="s">
        <v>185</v>
      </c>
      <c r="E205" s="11">
        <v>1.5</v>
      </c>
      <c r="F205" s="13">
        <v>45000</v>
      </c>
    </row>
    <row r="206" spans="1:6" ht="15" customHeight="1" x14ac:dyDescent="0.35">
      <c r="A206" s="14">
        <v>36</v>
      </c>
      <c r="B206" s="14" t="s">
        <v>24</v>
      </c>
      <c r="C206" s="14" t="s">
        <v>25</v>
      </c>
      <c r="D206" s="15" t="s">
        <v>147</v>
      </c>
      <c r="E206" s="14">
        <v>7</v>
      </c>
      <c r="F206" s="16">
        <v>90000</v>
      </c>
    </row>
    <row r="207" spans="1:6" ht="15" customHeight="1" x14ac:dyDescent="0.35">
      <c r="A207" s="11">
        <v>41</v>
      </c>
      <c r="B207" s="11" t="s">
        <v>27</v>
      </c>
      <c r="C207" s="11" t="s">
        <v>30</v>
      </c>
      <c r="D207" s="12" t="s">
        <v>186</v>
      </c>
      <c r="E207" s="11">
        <v>17</v>
      </c>
      <c r="F207" s="13">
        <v>160000</v>
      </c>
    </row>
    <row r="208" spans="1:6" ht="15" customHeight="1" x14ac:dyDescent="0.35">
      <c r="A208" s="14">
        <v>31</v>
      </c>
      <c r="B208" s="14" t="s">
        <v>24</v>
      </c>
      <c r="C208" s="14" t="s">
        <v>25</v>
      </c>
      <c r="D208" s="15" t="s">
        <v>130</v>
      </c>
      <c r="E208" s="14">
        <v>4</v>
      </c>
      <c r="F208" s="16">
        <v>50000</v>
      </c>
    </row>
    <row r="209" spans="1:6" ht="15" customHeight="1" x14ac:dyDescent="0.35">
      <c r="A209" s="11">
        <v>39</v>
      </c>
      <c r="B209" s="11" t="s">
        <v>27</v>
      </c>
      <c r="C209" s="11" t="s">
        <v>25</v>
      </c>
      <c r="D209" s="12" t="s">
        <v>155</v>
      </c>
      <c r="E209" s="11">
        <v>10</v>
      </c>
      <c r="F209" s="13">
        <v>120000</v>
      </c>
    </row>
    <row r="210" spans="1:6" ht="15" customHeight="1" x14ac:dyDescent="0.35">
      <c r="A210" s="14">
        <v>47</v>
      </c>
      <c r="B210" s="14" t="s">
        <v>24</v>
      </c>
      <c r="C210" s="14" t="s">
        <v>28</v>
      </c>
      <c r="D210" s="15" t="s">
        <v>167</v>
      </c>
      <c r="E210" s="14">
        <v>20</v>
      </c>
      <c r="F210" s="16">
        <v>170000</v>
      </c>
    </row>
    <row r="211" spans="1:6" ht="15" customHeight="1" x14ac:dyDescent="0.35">
      <c r="A211" s="11">
        <v>30</v>
      </c>
      <c r="B211" s="11" t="s">
        <v>27</v>
      </c>
      <c r="C211" s="11" t="s">
        <v>25</v>
      </c>
      <c r="D211" s="12" t="s">
        <v>168</v>
      </c>
      <c r="E211" s="11">
        <v>2</v>
      </c>
      <c r="F211" s="13">
        <v>40000</v>
      </c>
    </row>
    <row r="212" spans="1:6" ht="15" customHeight="1" x14ac:dyDescent="0.35">
      <c r="A212" s="14">
        <v>38</v>
      </c>
      <c r="B212" s="14" t="s">
        <v>24</v>
      </c>
      <c r="C212" s="14" t="s">
        <v>28</v>
      </c>
      <c r="D212" s="15" t="s">
        <v>187</v>
      </c>
      <c r="E212" s="14">
        <v>9</v>
      </c>
      <c r="F212" s="16">
        <v>110000</v>
      </c>
    </row>
    <row r="213" spans="1:6" ht="15" customHeight="1" x14ac:dyDescent="0.35">
      <c r="A213" s="11">
        <v>45</v>
      </c>
      <c r="B213" s="11" t="s">
        <v>27</v>
      </c>
      <c r="C213" s="11" t="s">
        <v>30</v>
      </c>
      <c r="D213" s="12" t="s">
        <v>151</v>
      </c>
      <c r="E213" s="11">
        <v>15</v>
      </c>
      <c r="F213" s="13">
        <v>150000</v>
      </c>
    </row>
    <row r="214" spans="1:6" ht="15" customHeight="1" x14ac:dyDescent="0.35">
      <c r="A214" s="14">
        <v>28</v>
      </c>
      <c r="B214" s="14" t="s">
        <v>24</v>
      </c>
      <c r="C214" s="14" t="s">
        <v>25</v>
      </c>
      <c r="D214" s="15" t="s">
        <v>163</v>
      </c>
      <c r="E214" s="14">
        <v>2</v>
      </c>
      <c r="F214" s="16">
        <v>40000</v>
      </c>
    </row>
    <row r="215" spans="1:6" ht="15" customHeight="1" x14ac:dyDescent="0.35">
      <c r="A215" s="11">
        <v>35</v>
      </c>
      <c r="B215" s="11" t="s">
        <v>27</v>
      </c>
      <c r="C215" s="11" t="s">
        <v>25</v>
      </c>
      <c r="D215" s="12" t="s">
        <v>121</v>
      </c>
      <c r="E215" s="11">
        <v>8</v>
      </c>
      <c r="F215" s="13">
        <v>85000</v>
      </c>
    </row>
    <row r="216" spans="1:6" ht="15" customHeight="1" x14ac:dyDescent="0.35">
      <c r="A216" s="14">
        <v>44</v>
      </c>
      <c r="B216" s="14" t="s">
        <v>24</v>
      </c>
      <c r="C216" s="14" t="s">
        <v>25</v>
      </c>
      <c r="D216" s="15" t="s">
        <v>96</v>
      </c>
      <c r="E216" s="14">
        <v>14</v>
      </c>
      <c r="F216" s="16">
        <v>130000</v>
      </c>
    </row>
    <row r="217" spans="1:6" ht="15" customHeight="1" x14ac:dyDescent="0.35">
      <c r="A217" s="11">
        <v>34</v>
      </c>
      <c r="B217" s="11" t="s">
        <v>27</v>
      </c>
      <c r="C217" s="11" t="s">
        <v>28</v>
      </c>
      <c r="D217" s="12" t="s">
        <v>188</v>
      </c>
      <c r="E217" s="11">
        <v>6</v>
      </c>
      <c r="F217" s="13">
        <v>100000</v>
      </c>
    </row>
    <row r="218" spans="1:6" ht="15" customHeight="1" x14ac:dyDescent="0.35">
      <c r="A218" s="14">
        <v>35</v>
      </c>
      <c r="B218" s="14" t="s">
        <v>24</v>
      </c>
      <c r="C218" s="14" t="s">
        <v>25</v>
      </c>
      <c r="D218" s="15" t="s">
        <v>117</v>
      </c>
      <c r="E218" s="14">
        <v>9</v>
      </c>
      <c r="F218" s="16">
        <v>95000</v>
      </c>
    </row>
    <row r="219" spans="1:6" ht="15" customHeight="1" x14ac:dyDescent="0.35">
      <c r="A219" s="11">
        <v>50</v>
      </c>
      <c r="B219" s="11" t="s">
        <v>27</v>
      </c>
      <c r="C219" s="11" t="s">
        <v>30</v>
      </c>
      <c r="D219" s="12" t="s">
        <v>84</v>
      </c>
      <c r="E219" s="11">
        <v>22</v>
      </c>
      <c r="F219" s="13">
        <v>180000</v>
      </c>
    </row>
    <row r="220" spans="1:6" ht="15" customHeight="1" x14ac:dyDescent="0.35">
      <c r="A220" s="14">
        <v>29</v>
      </c>
      <c r="B220" s="14" t="s">
        <v>24</v>
      </c>
      <c r="C220" s="14" t="s">
        <v>25</v>
      </c>
      <c r="D220" s="15" t="s">
        <v>189</v>
      </c>
      <c r="E220" s="14">
        <v>1.5</v>
      </c>
      <c r="F220" s="16">
        <v>35000</v>
      </c>
    </row>
    <row r="221" spans="1:6" ht="15" customHeight="1" x14ac:dyDescent="0.35">
      <c r="A221" s="11">
        <v>40</v>
      </c>
      <c r="B221" s="11" t="s">
        <v>27</v>
      </c>
      <c r="C221" s="11" t="s">
        <v>25</v>
      </c>
      <c r="D221" s="12" t="s">
        <v>158</v>
      </c>
      <c r="E221" s="11">
        <v>12</v>
      </c>
      <c r="F221" s="13">
        <v>100000</v>
      </c>
    </row>
    <row r="222" spans="1:6" ht="15" customHeight="1" x14ac:dyDescent="0.35">
      <c r="A222" s="14">
        <v>48</v>
      </c>
      <c r="B222" s="14" t="s">
        <v>24</v>
      </c>
      <c r="C222" s="14" t="s">
        <v>28</v>
      </c>
      <c r="D222" s="15" t="s">
        <v>75</v>
      </c>
      <c r="E222" s="14">
        <v>19</v>
      </c>
      <c r="F222" s="16">
        <v>170000</v>
      </c>
    </row>
    <row r="223" spans="1:6" ht="15" customHeight="1" x14ac:dyDescent="0.35">
      <c r="A223" s="11">
        <v>31</v>
      </c>
      <c r="B223" s="11" t="s">
        <v>27</v>
      </c>
      <c r="C223" s="11" t="s">
        <v>25</v>
      </c>
      <c r="D223" s="12" t="s">
        <v>190</v>
      </c>
      <c r="E223" s="11">
        <v>3</v>
      </c>
      <c r="F223" s="13">
        <v>45000</v>
      </c>
    </row>
    <row r="224" spans="1:6" ht="15" customHeight="1" x14ac:dyDescent="0.35">
      <c r="A224" s="14">
        <v>33</v>
      </c>
      <c r="B224" s="14" t="s">
        <v>24</v>
      </c>
      <c r="C224" s="14" t="s">
        <v>25</v>
      </c>
      <c r="D224" s="15" t="s">
        <v>191</v>
      </c>
      <c r="E224" s="14">
        <v>7</v>
      </c>
      <c r="F224" s="16">
        <v>100000</v>
      </c>
    </row>
    <row r="225" spans="1:6" ht="15" customHeight="1" x14ac:dyDescent="0.35">
      <c r="A225" s="11">
        <v>42</v>
      </c>
      <c r="B225" s="11" t="s">
        <v>27</v>
      </c>
      <c r="C225" s="11" t="s">
        <v>28</v>
      </c>
      <c r="D225" s="12" t="s">
        <v>162</v>
      </c>
      <c r="E225" s="11">
        <v>13</v>
      </c>
      <c r="F225" s="13">
        <v>140000</v>
      </c>
    </row>
    <row r="226" spans="1:6" ht="15" customHeight="1" x14ac:dyDescent="0.35">
      <c r="A226" s="14">
        <v>28</v>
      </c>
      <c r="B226" s="14" t="s">
        <v>24</v>
      </c>
      <c r="C226" s="14" t="s">
        <v>25</v>
      </c>
      <c r="D226" s="15" t="s">
        <v>154</v>
      </c>
      <c r="E226" s="14">
        <v>2</v>
      </c>
      <c r="F226" s="16">
        <v>40000</v>
      </c>
    </row>
    <row r="227" spans="1:6" ht="15" customHeight="1" x14ac:dyDescent="0.35">
      <c r="A227" s="11">
        <v>40</v>
      </c>
      <c r="B227" s="11" t="s">
        <v>27</v>
      </c>
      <c r="C227" s="11" t="s">
        <v>25</v>
      </c>
      <c r="D227" s="12" t="s">
        <v>108</v>
      </c>
      <c r="E227" s="11">
        <v>11</v>
      </c>
      <c r="F227" s="13">
        <v>105000</v>
      </c>
    </row>
    <row r="228" spans="1:6" ht="15" customHeight="1" x14ac:dyDescent="0.35">
      <c r="A228" s="14">
        <v>46</v>
      </c>
      <c r="B228" s="14" t="s">
        <v>24</v>
      </c>
      <c r="C228" s="14" t="s">
        <v>30</v>
      </c>
      <c r="D228" s="15" t="s">
        <v>85</v>
      </c>
      <c r="E228" s="14">
        <v>18</v>
      </c>
      <c r="F228" s="16">
        <v>160000</v>
      </c>
    </row>
    <row r="229" spans="1:6" ht="15" customHeight="1" x14ac:dyDescent="0.35">
      <c r="A229" s="11">
        <v>33</v>
      </c>
      <c r="B229" s="11" t="s">
        <v>27</v>
      </c>
      <c r="C229" s="11" t="s">
        <v>25</v>
      </c>
      <c r="D229" s="12" t="s">
        <v>192</v>
      </c>
      <c r="E229" s="11">
        <v>5</v>
      </c>
      <c r="F229" s="13">
        <v>70000</v>
      </c>
    </row>
    <row r="230" spans="1:6" ht="15" customHeight="1" x14ac:dyDescent="0.35">
      <c r="A230" s="14">
        <v>37</v>
      </c>
      <c r="B230" s="14" t="s">
        <v>24</v>
      </c>
      <c r="C230" s="14" t="s">
        <v>28</v>
      </c>
      <c r="D230" s="15" t="s">
        <v>193</v>
      </c>
      <c r="E230" s="14">
        <v>9</v>
      </c>
      <c r="F230" s="16">
        <v>120000</v>
      </c>
    </row>
    <row r="231" spans="1:6" ht="15" customHeight="1" x14ac:dyDescent="0.35">
      <c r="A231" s="11">
        <v>51</v>
      </c>
      <c r="B231" s="11" t="s">
        <v>27</v>
      </c>
      <c r="C231" s="11" t="s">
        <v>28</v>
      </c>
      <c r="D231" s="12" t="s">
        <v>156</v>
      </c>
      <c r="E231" s="11">
        <v>21</v>
      </c>
      <c r="F231" s="13">
        <v>190000</v>
      </c>
    </row>
    <row r="232" spans="1:6" ht="15" customHeight="1" x14ac:dyDescent="0.35">
      <c r="A232" s="14">
        <v>30</v>
      </c>
      <c r="B232" s="14" t="s">
        <v>24</v>
      </c>
      <c r="C232" s="14" t="s">
        <v>25</v>
      </c>
      <c r="D232" s="15" t="s">
        <v>145</v>
      </c>
      <c r="E232" s="14">
        <v>3</v>
      </c>
      <c r="F232" s="16">
        <v>45000</v>
      </c>
    </row>
    <row r="233" spans="1:6" ht="15" customHeight="1" x14ac:dyDescent="0.35">
      <c r="A233" s="11">
        <v>43</v>
      </c>
      <c r="B233" s="11" t="s">
        <v>24</v>
      </c>
      <c r="C233" s="11" t="s">
        <v>25</v>
      </c>
      <c r="D233" s="12" t="s">
        <v>105</v>
      </c>
      <c r="E233" s="11">
        <v>15</v>
      </c>
      <c r="F233" s="13">
        <v>120000</v>
      </c>
    </row>
    <row r="234" spans="1:6" ht="15" customHeight="1" x14ac:dyDescent="0.35">
      <c r="A234" s="14">
        <v>27</v>
      </c>
      <c r="B234" s="14" t="s">
        <v>27</v>
      </c>
      <c r="C234" s="14" t="s">
        <v>28</v>
      </c>
      <c r="D234" s="15" t="s">
        <v>194</v>
      </c>
      <c r="E234" s="14">
        <v>1.5</v>
      </c>
      <c r="F234" s="16">
        <v>50000</v>
      </c>
    </row>
    <row r="235" spans="1:6" ht="15" customHeight="1" x14ac:dyDescent="0.35">
      <c r="A235" s="11">
        <v>35</v>
      </c>
      <c r="B235" s="11" t="s">
        <v>24</v>
      </c>
      <c r="C235" s="11" t="s">
        <v>25</v>
      </c>
      <c r="D235" s="12" t="s">
        <v>170</v>
      </c>
      <c r="E235" s="11">
        <v>8</v>
      </c>
      <c r="F235" s="13">
        <v>85000</v>
      </c>
    </row>
    <row r="236" spans="1:6" ht="15" customHeight="1" x14ac:dyDescent="0.35">
      <c r="A236" s="14">
        <v>42</v>
      </c>
      <c r="B236" s="14" t="s">
        <v>27</v>
      </c>
      <c r="C236" s="14" t="s">
        <v>30</v>
      </c>
      <c r="D236" s="15" t="s">
        <v>108</v>
      </c>
      <c r="E236" s="14">
        <v>13</v>
      </c>
      <c r="F236" s="16">
        <v>140000</v>
      </c>
    </row>
    <row r="237" spans="1:6" ht="15" customHeight="1" x14ac:dyDescent="0.35">
      <c r="A237" s="11">
        <v>32</v>
      </c>
      <c r="B237" s="11" t="s">
        <v>24</v>
      </c>
      <c r="C237" s="11" t="s">
        <v>25</v>
      </c>
      <c r="D237" s="12" t="s">
        <v>139</v>
      </c>
      <c r="E237" s="11">
        <v>3</v>
      </c>
      <c r="F237" s="13">
        <v>45000</v>
      </c>
    </row>
    <row r="238" spans="1:6" ht="15" customHeight="1" x14ac:dyDescent="0.35">
      <c r="A238" s="14">
        <v>37</v>
      </c>
      <c r="B238" s="14" t="s">
        <v>27</v>
      </c>
      <c r="C238" s="14" t="s">
        <v>25</v>
      </c>
      <c r="D238" s="15" t="s">
        <v>91</v>
      </c>
      <c r="E238" s="14">
        <v>9</v>
      </c>
      <c r="F238" s="16">
        <v>100000</v>
      </c>
    </row>
    <row r="239" spans="1:6" ht="15" customHeight="1" x14ac:dyDescent="0.35">
      <c r="A239" s="11">
        <v>45</v>
      </c>
      <c r="B239" s="11" t="s">
        <v>24</v>
      </c>
      <c r="C239" s="11" t="s">
        <v>28</v>
      </c>
      <c r="D239" s="12" t="s">
        <v>135</v>
      </c>
      <c r="E239" s="11">
        <v>16</v>
      </c>
      <c r="F239" s="13">
        <v>140000</v>
      </c>
    </row>
    <row r="240" spans="1:6" ht="15" customHeight="1" x14ac:dyDescent="0.35">
      <c r="A240" s="14">
        <v>33</v>
      </c>
      <c r="B240" s="14" t="s">
        <v>27</v>
      </c>
      <c r="C240" s="14" t="s">
        <v>25</v>
      </c>
      <c r="D240" s="15" t="s">
        <v>132</v>
      </c>
      <c r="E240" s="14">
        <v>5</v>
      </c>
      <c r="F240" s="16">
        <v>70000</v>
      </c>
    </row>
    <row r="241" spans="1:6" ht="15" customHeight="1" x14ac:dyDescent="0.35">
      <c r="A241" s="11">
        <v>39</v>
      </c>
      <c r="B241" s="11" t="s">
        <v>24</v>
      </c>
      <c r="C241" s="11" t="s">
        <v>25</v>
      </c>
      <c r="D241" s="12" t="s">
        <v>174</v>
      </c>
      <c r="E241" s="11">
        <v>10</v>
      </c>
      <c r="F241" s="13">
        <v>120000</v>
      </c>
    </row>
    <row r="242" spans="1:6" ht="15" customHeight="1" x14ac:dyDescent="0.35">
      <c r="A242" s="14">
        <v>44</v>
      </c>
      <c r="B242" s="14" t="s">
        <v>27</v>
      </c>
      <c r="C242" s="14" t="s">
        <v>30</v>
      </c>
      <c r="D242" s="15" t="s">
        <v>115</v>
      </c>
      <c r="E242" s="14">
        <v>18</v>
      </c>
      <c r="F242" s="16">
        <v>160000</v>
      </c>
    </row>
    <row r="243" spans="1:6" ht="15" customHeight="1" x14ac:dyDescent="0.35">
      <c r="A243" s="11">
        <v>29</v>
      </c>
      <c r="B243" s="11" t="s">
        <v>24</v>
      </c>
      <c r="C243" s="11" t="s">
        <v>25</v>
      </c>
      <c r="D243" s="12" t="s">
        <v>143</v>
      </c>
      <c r="E243" s="11">
        <v>1.5</v>
      </c>
      <c r="F243" s="13">
        <v>40000</v>
      </c>
    </row>
    <row r="244" spans="1:6" ht="15" customHeight="1" x14ac:dyDescent="0.35">
      <c r="A244" s="14">
        <v>38</v>
      </c>
      <c r="B244" s="14" t="s">
        <v>27</v>
      </c>
      <c r="C244" s="14" t="s">
        <v>25</v>
      </c>
      <c r="D244" s="15" t="s">
        <v>131</v>
      </c>
      <c r="E244" s="14">
        <v>10</v>
      </c>
      <c r="F244" s="16">
        <v>120000</v>
      </c>
    </row>
    <row r="245" spans="1:6" ht="15" customHeight="1" x14ac:dyDescent="0.35">
      <c r="A245" s="11">
        <v>46</v>
      </c>
      <c r="B245" s="11" t="s">
        <v>24</v>
      </c>
      <c r="C245" s="11" t="s">
        <v>30</v>
      </c>
      <c r="D245" s="12" t="s">
        <v>182</v>
      </c>
      <c r="E245" s="11">
        <v>19</v>
      </c>
      <c r="F245" s="13">
        <v>150000</v>
      </c>
    </row>
    <row r="246" spans="1:6" ht="15" customHeight="1" x14ac:dyDescent="0.35">
      <c r="A246" s="14">
        <v>34</v>
      </c>
      <c r="B246" s="14" t="s">
        <v>27</v>
      </c>
      <c r="C246" s="14" t="s">
        <v>25</v>
      </c>
      <c r="D246" s="15" t="s">
        <v>127</v>
      </c>
      <c r="E246" s="14">
        <v>6</v>
      </c>
      <c r="F246" s="16">
        <v>70000</v>
      </c>
    </row>
    <row r="247" spans="1:6" ht="15" customHeight="1" x14ac:dyDescent="0.35">
      <c r="A247" s="11">
        <v>36</v>
      </c>
      <c r="B247" s="11" t="s">
        <v>24</v>
      </c>
      <c r="C247" s="11" t="s">
        <v>25</v>
      </c>
      <c r="D247" s="12" t="s">
        <v>155</v>
      </c>
      <c r="E247" s="11">
        <v>8</v>
      </c>
      <c r="F247" s="13">
        <v>95000</v>
      </c>
    </row>
    <row r="248" spans="1:6" ht="15" customHeight="1" x14ac:dyDescent="0.35">
      <c r="A248" s="14">
        <v>49</v>
      </c>
      <c r="B248" s="14" t="s">
        <v>27</v>
      </c>
      <c r="C248" s="14" t="s">
        <v>28</v>
      </c>
      <c r="D248" s="15" t="s">
        <v>75</v>
      </c>
      <c r="E248" s="14">
        <v>21</v>
      </c>
      <c r="F248" s="16">
        <v>180000</v>
      </c>
    </row>
    <row r="249" spans="1:6" ht="15" customHeight="1" x14ac:dyDescent="0.35">
      <c r="A249" s="11">
        <v>31</v>
      </c>
      <c r="B249" s="11" t="s">
        <v>24</v>
      </c>
      <c r="C249" s="11" t="s">
        <v>25</v>
      </c>
      <c r="D249" s="12" t="s">
        <v>154</v>
      </c>
      <c r="E249" s="11">
        <v>3</v>
      </c>
      <c r="F249" s="13">
        <v>50000</v>
      </c>
    </row>
    <row r="250" spans="1:6" ht="15" customHeight="1" x14ac:dyDescent="0.35">
      <c r="A250" s="14">
        <v>41</v>
      </c>
      <c r="B250" s="14" t="s">
        <v>27</v>
      </c>
      <c r="C250" s="14" t="s">
        <v>25</v>
      </c>
      <c r="D250" s="15" t="s">
        <v>117</v>
      </c>
      <c r="E250" s="14">
        <v>11</v>
      </c>
      <c r="F250" s="16">
        <v>95000</v>
      </c>
    </row>
    <row r="251" spans="1:6" ht="15" customHeight="1" x14ac:dyDescent="0.35">
      <c r="A251" s="11">
        <v>47</v>
      </c>
      <c r="B251" s="11" t="s">
        <v>24</v>
      </c>
      <c r="C251" s="11" t="s">
        <v>28</v>
      </c>
      <c r="D251" s="12" t="s">
        <v>84</v>
      </c>
      <c r="E251" s="11">
        <v>20</v>
      </c>
      <c r="F251" s="13">
        <v>170000</v>
      </c>
    </row>
    <row r="252" spans="1:6" ht="15" customHeight="1" x14ac:dyDescent="0.35">
      <c r="A252" s="14">
        <v>30</v>
      </c>
      <c r="B252" s="14" t="s">
        <v>27</v>
      </c>
      <c r="C252" s="14" t="s">
        <v>25</v>
      </c>
      <c r="D252" s="15" t="s">
        <v>168</v>
      </c>
      <c r="E252" s="14">
        <v>2</v>
      </c>
      <c r="F252" s="16">
        <v>40000</v>
      </c>
    </row>
    <row r="253" spans="1:6" ht="15" customHeight="1" x14ac:dyDescent="0.35">
      <c r="A253" s="11">
        <v>38</v>
      </c>
      <c r="B253" s="11" t="s">
        <v>24</v>
      </c>
      <c r="C253" s="11" t="s">
        <v>28</v>
      </c>
      <c r="D253" s="12" t="s">
        <v>187</v>
      </c>
      <c r="E253" s="11">
        <v>9</v>
      </c>
      <c r="F253" s="13">
        <v>110000</v>
      </c>
    </row>
    <row r="254" spans="1:6" ht="15" customHeight="1" x14ac:dyDescent="0.35">
      <c r="A254" s="14">
        <v>45</v>
      </c>
      <c r="B254" s="14" t="s">
        <v>27</v>
      </c>
      <c r="C254" s="14" t="s">
        <v>30</v>
      </c>
      <c r="D254" s="15" t="s">
        <v>151</v>
      </c>
      <c r="E254" s="14">
        <v>15</v>
      </c>
      <c r="F254" s="16">
        <v>150000</v>
      </c>
    </row>
    <row r="255" spans="1:6" ht="15" customHeight="1" x14ac:dyDescent="0.35">
      <c r="A255" s="11">
        <v>28</v>
      </c>
      <c r="B255" s="11" t="s">
        <v>24</v>
      </c>
      <c r="C255" s="11" t="s">
        <v>25</v>
      </c>
      <c r="D255" s="12" t="s">
        <v>163</v>
      </c>
      <c r="E255" s="11">
        <v>2</v>
      </c>
      <c r="F255" s="13">
        <v>40000</v>
      </c>
    </row>
    <row r="256" spans="1:6" ht="15" customHeight="1" x14ac:dyDescent="0.35">
      <c r="A256" s="14">
        <v>35</v>
      </c>
      <c r="B256" s="14" t="s">
        <v>27</v>
      </c>
      <c r="C256" s="14" t="s">
        <v>25</v>
      </c>
      <c r="D256" s="15" t="s">
        <v>121</v>
      </c>
      <c r="E256" s="14">
        <v>8</v>
      </c>
      <c r="F256" s="16">
        <v>85000</v>
      </c>
    </row>
    <row r="257" spans="1:6" ht="15" customHeight="1" x14ac:dyDescent="0.35">
      <c r="A257" s="11">
        <v>44</v>
      </c>
      <c r="B257" s="11" t="s">
        <v>24</v>
      </c>
      <c r="C257" s="11" t="s">
        <v>25</v>
      </c>
      <c r="D257" s="12" t="s">
        <v>96</v>
      </c>
      <c r="E257" s="11">
        <v>14</v>
      </c>
      <c r="F257" s="13">
        <v>130000</v>
      </c>
    </row>
    <row r="258" spans="1:6" ht="15" customHeight="1" x14ac:dyDescent="0.35">
      <c r="A258" s="14">
        <v>34</v>
      </c>
      <c r="B258" s="14" t="s">
        <v>27</v>
      </c>
      <c r="C258" s="14" t="s">
        <v>28</v>
      </c>
      <c r="D258" s="15" t="s">
        <v>188</v>
      </c>
      <c r="E258" s="14">
        <v>6</v>
      </c>
      <c r="F258" s="16">
        <v>100000</v>
      </c>
    </row>
    <row r="259" spans="1:6" ht="15" customHeight="1" x14ac:dyDescent="0.35">
      <c r="A259" s="11">
        <v>35</v>
      </c>
      <c r="B259" s="11" t="s">
        <v>24</v>
      </c>
      <c r="C259" s="11" t="s">
        <v>25</v>
      </c>
      <c r="D259" s="12" t="s">
        <v>117</v>
      </c>
      <c r="E259" s="11">
        <v>9</v>
      </c>
      <c r="F259" s="13">
        <v>95000</v>
      </c>
    </row>
    <row r="260" spans="1:6" ht="15" customHeight="1" x14ac:dyDescent="0.35">
      <c r="A260" s="14">
        <v>50</v>
      </c>
      <c r="B260" s="14" t="s">
        <v>27</v>
      </c>
      <c r="C260" s="14" t="s">
        <v>30</v>
      </c>
      <c r="D260" s="15" t="s">
        <v>84</v>
      </c>
      <c r="E260" s="14">
        <v>22</v>
      </c>
      <c r="F260" s="16">
        <v>180000</v>
      </c>
    </row>
    <row r="261" spans="1:6" ht="15" customHeight="1" x14ac:dyDescent="0.35">
      <c r="A261" s="11">
        <v>29</v>
      </c>
      <c r="B261" s="11" t="s">
        <v>24</v>
      </c>
      <c r="C261" s="11" t="s">
        <v>25</v>
      </c>
      <c r="D261" s="12" t="s">
        <v>189</v>
      </c>
      <c r="E261" s="11">
        <v>1.5</v>
      </c>
      <c r="F261" s="13">
        <v>350</v>
      </c>
    </row>
    <row r="262" spans="1:6" ht="15" customHeight="1" x14ac:dyDescent="0.35">
      <c r="A262" s="14">
        <v>37</v>
      </c>
      <c r="B262" s="14" t="s">
        <v>27</v>
      </c>
      <c r="C262" s="14" t="s">
        <v>25</v>
      </c>
      <c r="D262" s="15" t="s">
        <v>195</v>
      </c>
      <c r="E262" s="14">
        <v>10</v>
      </c>
      <c r="F262" s="16">
        <v>120000</v>
      </c>
    </row>
    <row r="263" spans="1:6" ht="15" customHeight="1" x14ac:dyDescent="0.35">
      <c r="A263" s="11">
        <v>46</v>
      </c>
      <c r="B263" s="11" t="s">
        <v>24</v>
      </c>
      <c r="C263" s="11" t="s">
        <v>30</v>
      </c>
      <c r="D263" s="12" t="s">
        <v>85</v>
      </c>
      <c r="E263" s="11">
        <v>18</v>
      </c>
      <c r="F263" s="13">
        <v>160000</v>
      </c>
    </row>
    <row r="264" spans="1:6" ht="15" customHeight="1" x14ac:dyDescent="0.35">
      <c r="A264" s="14">
        <v>31</v>
      </c>
      <c r="B264" s="14" t="s">
        <v>27</v>
      </c>
      <c r="C264" s="14" t="s">
        <v>25</v>
      </c>
      <c r="D264" s="15" t="s">
        <v>168</v>
      </c>
      <c r="E264" s="14">
        <v>3</v>
      </c>
      <c r="F264" s="16">
        <v>50000</v>
      </c>
    </row>
    <row r="265" spans="1:6" ht="15" customHeight="1" x14ac:dyDescent="0.35">
      <c r="A265" s="11">
        <v>42</v>
      </c>
      <c r="B265" s="11" t="s">
        <v>24</v>
      </c>
      <c r="C265" s="11" t="s">
        <v>25</v>
      </c>
      <c r="D265" s="12" t="s">
        <v>155</v>
      </c>
      <c r="E265" s="11">
        <v>12</v>
      </c>
      <c r="F265" s="13">
        <v>110000</v>
      </c>
    </row>
    <row r="266" spans="1:6" ht="15" customHeight="1" x14ac:dyDescent="0.35">
      <c r="A266" s="14">
        <v>29</v>
      </c>
      <c r="B266" s="14" t="s">
        <v>27</v>
      </c>
      <c r="C266" s="14" t="s">
        <v>25</v>
      </c>
      <c r="D266" s="15" t="s">
        <v>139</v>
      </c>
      <c r="E266" s="14">
        <v>1.5</v>
      </c>
      <c r="F266" s="16">
        <v>40000</v>
      </c>
    </row>
    <row r="267" spans="1:6" ht="15" customHeight="1" x14ac:dyDescent="0.35">
      <c r="A267" s="11">
        <v>36</v>
      </c>
      <c r="B267" s="11" t="s">
        <v>24</v>
      </c>
      <c r="C267" s="11" t="s">
        <v>25</v>
      </c>
      <c r="D267" s="12" t="s">
        <v>174</v>
      </c>
      <c r="E267" s="11">
        <v>8</v>
      </c>
      <c r="F267" s="13">
        <v>95000</v>
      </c>
    </row>
    <row r="268" spans="1:6" ht="15" customHeight="1" x14ac:dyDescent="0.35">
      <c r="A268" s="14">
        <v>44</v>
      </c>
      <c r="B268" s="14" t="s">
        <v>27</v>
      </c>
      <c r="C268" s="14" t="s">
        <v>28</v>
      </c>
      <c r="D268" s="15" t="s">
        <v>196</v>
      </c>
      <c r="E268" s="14">
        <v>15</v>
      </c>
      <c r="F268" s="16">
        <v>140000</v>
      </c>
    </row>
    <row r="269" spans="1:6" ht="15" customHeight="1" x14ac:dyDescent="0.35">
      <c r="A269" s="11">
        <v>33</v>
      </c>
      <c r="B269" s="11" t="s">
        <v>24</v>
      </c>
      <c r="C269" s="11" t="s">
        <v>25</v>
      </c>
      <c r="D269" s="12" t="s">
        <v>192</v>
      </c>
      <c r="E269" s="11">
        <v>4</v>
      </c>
      <c r="F269" s="13">
        <v>60000</v>
      </c>
    </row>
    <row r="270" spans="1:6" ht="15" customHeight="1" x14ac:dyDescent="0.35">
      <c r="A270" s="14">
        <v>39</v>
      </c>
      <c r="B270" s="14" t="s">
        <v>27</v>
      </c>
      <c r="C270" s="14" t="s">
        <v>25</v>
      </c>
      <c r="D270" s="15" t="s">
        <v>161</v>
      </c>
      <c r="E270" s="14">
        <v>9</v>
      </c>
      <c r="F270" s="16">
        <v>110000</v>
      </c>
    </row>
    <row r="271" spans="1:6" ht="15" customHeight="1" x14ac:dyDescent="0.35">
      <c r="A271" s="11">
        <v>45</v>
      </c>
      <c r="B271" s="11" t="s">
        <v>24</v>
      </c>
      <c r="C271" s="11" t="s">
        <v>30</v>
      </c>
      <c r="D271" s="12" t="s">
        <v>197</v>
      </c>
      <c r="E271" s="11">
        <v>16</v>
      </c>
      <c r="F271" s="13">
        <v>150000</v>
      </c>
    </row>
    <row r="272" spans="1:6" ht="15" customHeight="1" x14ac:dyDescent="0.35">
      <c r="A272" s="14">
        <v>32</v>
      </c>
      <c r="B272" s="14" t="s">
        <v>27</v>
      </c>
      <c r="C272" s="14" t="s">
        <v>25</v>
      </c>
      <c r="D272" s="15" t="s">
        <v>140</v>
      </c>
      <c r="E272" s="14">
        <v>4</v>
      </c>
      <c r="F272" s="16">
        <v>60000</v>
      </c>
    </row>
    <row r="273" spans="1:6" ht="15" customHeight="1" x14ac:dyDescent="0.35">
      <c r="A273" s="11">
        <v>37</v>
      </c>
      <c r="B273" s="11" t="s">
        <v>24</v>
      </c>
      <c r="C273" s="11" t="s">
        <v>25</v>
      </c>
      <c r="D273" s="12" t="s">
        <v>91</v>
      </c>
      <c r="E273" s="11">
        <v>8</v>
      </c>
      <c r="F273" s="13">
        <v>90000</v>
      </c>
    </row>
    <row r="274" spans="1:6" ht="15" customHeight="1" x14ac:dyDescent="0.35">
      <c r="A274" s="14">
        <v>47</v>
      </c>
      <c r="B274" s="14" t="s">
        <v>27</v>
      </c>
      <c r="C274" s="14" t="s">
        <v>28</v>
      </c>
      <c r="D274" s="15" t="s">
        <v>75</v>
      </c>
      <c r="E274" s="14">
        <v>20</v>
      </c>
      <c r="F274" s="16">
        <v>180000</v>
      </c>
    </row>
    <row r="275" spans="1:6" ht="15" customHeight="1" x14ac:dyDescent="0.35">
      <c r="A275" s="11">
        <v>30</v>
      </c>
      <c r="B275" s="11" t="s">
        <v>24</v>
      </c>
      <c r="C275" s="11" t="s">
        <v>25</v>
      </c>
      <c r="D275" s="12" t="s">
        <v>143</v>
      </c>
      <c r="E275" s="11">
        <v>2</v>
      </c>
      <c r="F275" s="13">
        <v>40000</v>
      </c>
    </row>
    <row r="276" spans="1:6" ht="15" customHeight="1" x14ac:dyDescent="0.35">
      <c r="A276" s="14">
        <v>38</v>
      </c>
      <c r="B276" s="14" t="s">
        <v>27</v>
      </c>
      <c r="C276" s="14" t="s">
        <v>25</v>
      </c>
      <c r="D276" s="15" t="s">
        <v>105</v>
      </c>
      <c r="E276" s="14">
        <v>9</v>
      </c>
      <c r="F276" s="16">
        <v>120000</v>
      </c>
    </row>
    <row r="277" spans="1:6" ht="15" customHeight="1" x14ac:dyDescent="0.35">
      <c r="A277" s="11">
        <v>46</v>
      </c>
      <c r="B277" s="11" t="s">
        <v>24</v>
      </c>
      <c r="C277" s="11" t="s">
        <v>30</v>
      </c>
      <c r="D277" s="12" t="s">
        <v>182</v>
      </c>
      <c r="E277" s="11">
        <v>17</v>
      </c>
      <c r="F277" s="13">
        <v>160000</v>
      </c>
    </row>
    <row r="278" spans="1:6" ht="15" customHeight="1" x14ac:dyDescent="0.35">
      <c r="A278" s="14">
        <v>34</v>
      </c>
      <c r="B278" s="14" t="s">
        <v>27</v>
      </c>
      <c r="C278" s="14" t="s">
        <v>25</v>
      </c>
      <c r="D278" s="15" t="s">
        <v>154</v>
      </c>
      <c r="E278" s="14">
        <v>5</v>
      </c>
      <c r="F278" s="16">
        <v>70000</v>
      </c>
    </row>
    <row r="279" spans="1:6" ht="15" customHeight="1" x14ac:dyDescent="0.35">
      <c r="A279" s="11">
        <v>36</v>
      </c>
      <c r="B279" s="11" t="s">
        <v>24</v>
      </c>
      <c r="C279" s="11" t="s">
        <v>25</v>
      </c>
      <c r="D279" s="12" t="s">
        <v>131</v>
      </c>
      <c r="E279" s="11">
        <v>8</v>
      </c>
      <c r="F279" s="13">
        <v>95000</v>
      </c>
    </row>
    <row r="280" spans="1:6" ht="15" customHeight="1" x14ac:dyDescent="0.35">
      <c r="A280" s="14">
        <v>49</v>
      </c>
      <c r="B280" s="14" t="s">
        <v>27</v>
      </c>
      <c r="C280" s="14" t="s">
        <v>28</v>
      </c>
      <c r="D280" s="15" t="s">
        <v>84</v>
      </c>
      <c r="E280" s="14">
        <v>21</v>
      </c>
      <c r="F280" s="16">
        <v>180000</v>
      </c>
    </row>
    <row r="281" spans="1:6" ht="15" customHeight="1" x14ac:dyDescent="0.35">
      <c r="A281" s="11">
        <v>31</v>
      </c>
      <c r="B281" s="11" t="s">
        <v>24</v>
      </c>
      <c r="C281" s="11" t="s">
        <v>25</v>
      </c>
      <c r="D281" s="12" t="s">
        <v>132</v>
      </c>
      <c r="E281" s="11">
        <v>3</v>
      </c>
      <c r="F281" s="13">
        <v>50000</v>
      </c>
    </row>
    <row r="282" spans="1:6" ht="15" customHeight="1" x14ac:dyDescent="0.35">
      <c r="A282" s="14">
        <v>41</v>
      </c>
      <c r="B282" s="14" t="s">
        <v>27</v>
      </c>
      <c r="C282" s="14" t="s">
        <v>25</v>
      </c>
      <c r="D282" s="15" t="s">
        <v>117</v>
      </c>
      <c r="E282" s="14">
        <v>11</v>
      </c>
      <c r="F282" s="16">
        <v>95000</v>
      </c>
    </row>
    <row r="283" spans="1:6" ht="15" customHeight="1" x14ac:dyDescent="0.35">
      <c r="A283" s="11">
        <v>47</v>
      </c>
      <c r="B283" s="11" t="s">
        <v>24</v>
      </c>
      <c r="C283" s="11" t="s">
        <v>28</v>
      </c>
      <c r="D283" s="12" t="s">
        <v>75</v>
      </c>
      <c r="E283" s="11">
        <v>19</v>
      </c>
      <c r="F283" s="13">
        <v>170000</v>
      </c>
    </row>
    <row r="284" spans="1:6" ht="15" customHeight="1" x14ac:dyDescent="0.35">
      <c r="A284" s="14">
        <v>29</v>
      </c>
      <c r="B284" s="14" t="s">
        <v>27</v>
      </c>
      <c r="C284" s="14" t="s">
        <v>25</v>
      </c>
      <c r="D284" s="15" t="s">
        <v>163</v>
      </c>
      <c r="E284" s="14">
        <v>1.5</v>
      </c>
      <c r="F284" s="16">
        <v>35000</v>
      </c>
    </row>
    <row r="285" spans="1:6" ht="15" customHeight="1" x14ac:dyDescent="0.35">
      <c r="A285" s="11">
        <v>35</v>
      </c>
      <c r="B285" s="11" t="s">
        <v>24</v>
      </c>
      <c r="C285" s="11" t="s">
        <v>25</v>
      </c>
      <c r="D285" s="12" t="s">
        <v>195</v>
      </c>
      <c r="E285" s="11">
        <v>9</v>
      </c>
      <c r="F285" s="13">
        <v>100000</v>
      </c>
    </row>
    <row r="286" spans="1:6" ht="15" customHeight="1" x14ac:dyDescent="0.35">
      <c r="A286" s="14">
        <v>44</v>
      </c>
      <c r="B286" s="14" t="s">
        <v>27</v>
      </c>
      <c r="C286" s="14" t="s">
        <v>30</v>
      </c>
      <c r="D286" s="15" t="s">
        <v>151</v>
      </c>
      <c r="E286" s="14">
        <v>15</v>
      </c>
      <c r="F286" s="16">
        <v>150000</v>
      </c>
    </row>
    <row r="287" spans="1:6" ht="15" customHeight="1" x14ac:dyDescent="0.35">
      <c r="A287" s="11">
        <v>33</v>
      </c>
      <c r="B287" s="11" t="s">
        <v>24</v>
      </c>
      <c r="C287" s="11" t="s">
        <v>25</v>
      </c>
      <c r="D287" s="12" t="s">
        <v>143</v>
      </c>
      <c r="E287" s="11">
        <v>4</v>
      </c>
      <c r="F287" s="13">
        <v>60000</v>
      </c>
    </row>
    <row r="288" spans="1:6" ht="15" customHeight="1" x14ac:dyDescent="0.35">
      <c r="A288" s="14">
        <v>35</v>
      </c>
      <c r="B288" s="14" t="s">
        <v>27</v>
      </c>
      <c r="C288" s="14" t="s">
        <v>25</v>
      </c>
      <c r="D288" s="15" t="s">
        <v>121</v>
      </c>
      <c r="E288" s="14">
        <v>8</v>
      </c>
      <c r="F288" s="16">
        <v>85000</v>
      </c>
    </row>
    <row r="289" spans="1:6" ht="15" customHeight="1" x14ac:dyDescent="0.35">
      <c r="A289" s="11">
        <v>44</v>
      </c>
      <c r="B289" s="11" t="s">
        <v>24</v>
      </c>
      <c r="C289" s="11" t="s">
        <v>25</v>
      </c>
      <c r="D289" s="12" t="s">
        <v>96</v>
      </c>
      <c r="E289" s="11">
        <v>13</v>
      </c>
      <c r="F289" s="13">
        <v>130000</v>
      </c>
    </row>
    <row r="290" spans="1:6" ht="15" customHeight="1" x14ac:dyDescent="0.35">
      <c r="A290" s="14">
        <v>32</v>
      </c>
      <c r="B290" s="14" t="s">
        <v>24</v>
      </c>
      <c r="C290" s="14" t="s">
        <v>25</v>
      </c>
      <c r="D290" s="15" t="s">
        <v>173</v>
      </c>
      <c r="E290" s="14">
        <v>4</v>
      </c>
      <c r="F290" s="16">
        <v>65000</v>
      </c>
    </row>
    <row r="291" spans="1:6" ht="15" customHeight="1" x14ac:dyDescent="0.35">
      <c r="A291" s="11">
        <v>38</v>
      </c>
      <c r="B291" s="11" t="s">
        <v>27</v>
      </c>
      <c r="C291" s="11" t="s">
        <v>25</v>
      </c>
      <c r="D291" s="12" t="s">
        <v>126</v>
      </c>
      <c r="E291" s="11">
        <v>10</v>
      </c>
      <c r="F291" s="13">
        <v>110000</v>
      </c>
    </row>
    <row r="292" spans="1:6" ht="15" customHeight="1" x14ac:dyDescent="0.35">
      <c r="A292" s="14">
        <v>49</v>
      </c>
      <c r="B292" s="14" t="s">
        <v>24</v>
      </c>
      <c r="C292" s="14" t="s">
        <v>30</v>
      </c>
      <c r="D292" s="15" t="s">
        <v>84</v>
      </c>
      <c r="E292" s="14">
        <v>21</v>
      </c>
      <c r="F292" s="16">
        <v>180000</v>
      </c>
    </row>
    <row r="293" spans="1:6" ht="15" customHeight="1" x14ac:dyDescent="0.35">
      <c r="A293" s="11">
        <v>29</v>
      </c>
      <c r="B293" s="11" t="s">
        <v>27</v>
      </c>
      <c r="C293" s="11" t="s">
        <v>25</v>
      </c>
      <c r="D293" s="12" t="s">
        <v>145</v>
      </c>
      <c r="E293" s="11">
        <v>2</v>
      </c>
      <c r="F293" s="13">
        <v>40000</v>
      </c>
    </row>
    <row r="294" spans="1:6" ht="15" customHeight="1" x14ac:dyDescent="0.35">
      <c r="A294" s="14">
        <v>35</v>
      </c>
      <c r="B294" s="14" t="s">
        <v>24</v>
      </c>
      <c r="C294" s="14" t="s">
        <v>25</v>
      </c>
      <c r="D294" s="15" t="s">
        <v>150</v>
      </c>
      <c r="E294" s="14">
        <v>7</v>
      </c>
      <c r="F294" s="16">
        <v>90000</v>
      </c>
    </row>
    <row r="295" spans="1:6" ht="15" customHeight="1" x14ac:dyDescent="0.35">
      <c r="A295" s="11">
        <v>45</v>
      </c>
      <c r="B295" s="11" t="s">
        <v>27</v>
      </c>
      <c r="C295" s="11" t="s">
        <v>28</v>
      </c>
      <c r="D295" s="12" t="s">
        <v>115</v>
      </c>
      <c r="E295" s="11">
        <v>14</v>
      </c>
      <c r="F295" s="13">
        <v>140000</v>
      </c>
    </row>
    <row r="296" spans="1:6" ht="15" customHeight="1" x14ac:dyDescent="0.35">
      <c r="A296" s="14">
        <v>33</v>
      </c>
      <c r="B296" s="14" t="s">
        <v>24</v>
      </c>
      <c r="C296" s="14" t="s">
        <v>25</v>
      </c>
      <c r="D296" s="15" t="s">
        <v>154</v>
      </c>
      <c r="E296" s="14">
        <v>4</v>
      </c>
      <c r="F296" s="16">
        <v>60000</v>
      </c>
    </row>
    <row r="297" spans="1:6" ht="15" customHeight="1" x14ac:dyDescent="0.35">
      <c r="A297" s="11">
        <v>40</v>
      </c>
      <c r="B297" s="11" t="s">
        <v>27</v>
      </c>
      <c r="C297" s="11" t="s">
        <v>25</v>
      </c>
      <c r="D297" s="12" t="s">
        <v>108</v>
      </c>
      <c r="E297" s="11">
        <v>12</v>
      </c>
      <c r="F297" s="13">
        <v>130000</v>
      </c>
    </row>
    <row r="298" spans="1:6" ht="15" customHeight="1" x14ac:dyDescent="0.35">
      <c r="A298" s="14">
        <v>44</v>
      </c>
      <c r="B298" s="14" t="s">
        <v>24</v>
      </c>
      <c r="C298" s="14" t="s">
        <v>30</v>
      </c>
      <c r="D298" s="15" t="s">
        <v>85</v>
      </c>
      <c r="E298" s="14">
        <v>16</v>
      </c>
      <c r="F298" s="16">
        <v>160000</v>
      </c>
    </row>
    <row r="299" spans="1:6" ht="15" customHeight="1" x14ac:dyDescent="0.35">
      <c r="A299" s="11">
        <v>30</v>
      </c>
      <c r="B299" s="11" t="s">
        <v>27</v>
      </c>
      <c r="C299" s="11" t="s">
        <v>25</v>
      </c>
      <c r="D299" s="12" t="s">
        <v>198</v>
      </c>
      <c r="E299" s="11">
        <v>2</v>
      </c>
      <c r="F299" s="13">
        <v>40000</v>
      </c>
    </row>
    <row r="300" spans="1:6" ht="15" customHeight="1" x14ac:dyDescent="0.35">
      <c r="A300" s="14">
        <v>37</v>
      </c>
      <c r="B300" s="14" t="s">
        <v>24</v>
      </c>
      <c r="C300" s="14" t="s">
        <v>25</v>
      </c>
      <c r="D300" s="15" t="s">
        <v>121</v>
      </c>
      <c r="E300" s="14">
        <v>9</v>
      </c>
      <c r="F300" s="16">
        <v>100000</v>
      </c>
    </row>
    <row r="301" spans="1:6" ht="15" customHeight="1" x14ac:dyDescent="0.35">
      <c r="A301" s="11">
        <v>48</v>
      </c>
      <c r="B301" s="11" t="s">
        <v>27</v>
      </c>
      <c r="C301" s="11" t="s">
        <v>28</v>
      </c>
      <c r="D301" s="12" t="s">
        <v>199</v>
      </c>
      <c r="E301" s="11">
        <v>20</v>
      </c>
      <c r="F301" s="13">
        <v>180000</v>
      </c>
    </row>
    <row r="302" spans="1:6" ht="15" customHeight="1" x14ac:dyDescent="0.35">
      <c r="A302" s="14">
        <v>31</v>
      </c>
      <c r="B302" s="14" t="s">
        <v>24</v>
      </c>
      <c r="C302" s="14" t="s">
        <v>25</v>
      </c>
      <c r="D302" s="15" t="s">
        <v>146</v>
      </c>
      <c r="E302" s="14">
        <v>3</v>
      </c>
      <c r="F302" s="16">
        <v>55000</v>
      </c>
    </row>
    <row r="303" spans="1:6" ht="15" customHeight="1" x14ac:dyDescent="0.35">
      <c r="A303" s="11">
        <v>38</v>
      </c>
      <c r="B303" s="11" t="s">
        <v>27</v>
      </c>
      <c r="C303" s="11" t="s">
        <v>25</v>
      </c>
      <c r="D303" s="12" t="s">
        <v>200</v>
      </c>
      <c r="E303" s="11">
        <v>9</v>
      </c>
      <c r="F303" s="13">
        <v>120000</v>
      </c>
    </row>
    <row r="304" spans="1:6" ht="15" customHeight="1" x14ac:dyDescent="0.35">
      <c r="A304" s="14">
        <v>45</v>
      </c>
      <c r="B304" s="14" t="s">
        <v>24</v>
      </c>
      <c r="C304" s="14" t="s">
        <v>30</v>
      </c>
      <c r="D304" s="15" t="s">
        <v>197</v>
      </c>
      <c r="E304" s="14">
        <v>16</v>
      </c>
      <c r="F304" s="16">
        <v>150000</v>
      </c>
    </row>
    <row r="305" spans="1:6" ht="15" customHeight="1" x14ac:dyDescent="0.35">
      <c r="A305" s="11">
        <v>33</v>
      </c>
      <c r="B305" s="11" t="s">
        <v>27</v>
      </c>
      <c r="C305" s="11" t="s">
        <v>25</v>
      </c>
      <c r="D305" s="12" t="s">
        <v>140</v>
      </c>
      <c r="E305" s="11">
        <v>5</v>
      </c>
      <c r="F305" s="13">
        <v>70000</v>
      </c>
    </row>
    <row r="306" spans="1:6" ht="15" customHeight="1" x14ac:dyDescent="0.35">
      <c r="A306" s="14">
        <v>36</v>
      </c>
      <c r="B306" s="14" t="s">
        <v>24</v>
      </c>
      <c r="C306" s="14" t="s">
        <v>25</v>
      </c>
      <c r="D306" s="15" t="s">
        <v>126</v>
      </c>
      <c r="E306" s="14">
        <v>8</v>
      </c>
      <c r="F306" s="16">
        <v>95000</v>
      </c>
    </row>
    <row r="307" spans="1:6" ht="15" customHeight="1" x14ac:dyDescent="0.35">
      <c r="A307" s="11">
        <v>49</v>
      </c>
      <c r="B307" s="11" t="s">
        <v>27</v>
      </c>
      <c r="C307" s="11" t="s">
        <v>28</v>
      </c>
      <c r="D307" s="12" t="s">
        <v>75</v>
      </c>
      <c r="E307" s="11">
        <v>21</v>
      </c>
      <c r="F307" s="13">
        <v>180000</v>
      </c>
    </row>
    <row r="308" spans="1:6" ht="15" customHeight="1" x14ac:dyDescent="0.35">
      <c r="A308" s="14">
        <v>31</v>
      </c>
      <c r="B308" s="14" t="s">
        <v>24</v>
      </c>
      <c r="C308" s="14" t="s">
        <v>25</v>
      </c>
      <c r="D308" s="15" t="s">
        <v>132</v>
      </c>
      <c r="E308" s="14">
        <v>3</v>
      </c>
      <c r="F308" s="16">
        <v>50000</v>
      </c>
    </row>
    <row r="309" spans="1:6" ht="15" customHeight="1" x14ac:dyDescent="0.35">
      <c r="A309" s="11">
        <v>42</v>
      </c>
      <c r="B309" s="11" t="s">
        <v>27</v>
      </c>
      <c r="C309" s="11" t="s">
        <v>25</v>
      </c>
      <c r="D309" s="12" t="s">
        <v>105</v>
      </c>
      <c r="E309" s="11">
        <v>12</v>
      </c>
      <c r="F309" s="13">
        <v>120000</v>
      </c>
    </row>
    <row r="310" spans="1:6" ht="15" customHeight="1" x14ac:dyDescent="0.35">
      <c r="A310" s="14">
        <v>47</v>
      </c>
      <c r="B310" s="14" t="s">
        <v>24</v>
      </c>
      <c r="C310" s="14" t="s">
        <v>28</v>
      </c>
      <c r="D310" s="15" t="s">
        <v>75</v>
      </c>
      <c r="E310" s="14">
        <v>19</v>
      </c>
      <c r="F310" s="16">
        <v>170000</v>
      </c>
    </row>
    <row r="311" spans="1:6" ht="15" customHeight="1" x14ac:dyDescent="0.35">
      <c r="A311" s="11">
        <v>29</v>
      </c>
      <c r="B311" s="11" t="s">
        <v>27</v>
      </c>
      <c r="C311" s="11" t="s">
        <v>25</v>
      </c>
      <c r="D311" s="12" t="s">
        <v>163</v>
      </c>
      <c r="E311" s="11">
        <v>1.5</v>
      </c>
      <c r="F311" s="13">
        <v>35000</v>
      </c>
    </row>
    <row r="312" spans="1:6" ht="15" customHeight="1" x14ac:dyDescent="0.35">
      <c r="A312" s="14">
        <v>35</v>
      </c>
      <c r="B312" s="14" t="s">
        <v>24</v>
      </c>
      <c r="C312" s="14" t="s">
        <v>25</v>
      </c>
      <c r="D312" s="15" t="s">
        <v>195</v>
      </c>
      <c r="E312" s="14">
        <v>9</v>
      </c>
      <c r="F312" s="16">
        <v>100000</v>
      </c>
    </row>
    <row r="313" spans="1:6" ht="15" customHeight="1" x14ac:dyDescent="0.35">
      <c r="A313" s="11">
        <v>44</v>
      </c>
      <c r="B313" s="11" t="s">
        <v>27</v>
      </c>
      <c r="C313" s="11" t="s">
        <v>30</v>
      </c>
      <c r="D313" s="12" t="s">
        <v>151</v>
      </c>
      <c r="E313" s="11">
        <v>15</v>
      </c>
      <c r="F313" s="13">
        <v>150000</v>
      </c>
    </row>
    <row r="314" spans="1:6" ht="15" customHeight="1" x14ac:dyDescent="0.35">
      <c r="A314" s="14">
        <v>33</v>
      </c>
      <c r="B314" s="14" t="s">
        <v>24</v>
      </c>
      <c r="C314" s="14" t="s">
        <v>25</v>
      </c>
      <c r="D314" s="15" t="s">
        <v>143</v>
      </c>
      <c r="E314" s="14">
        <v>4</v>
      </c>
      <c r="F314" s="16">
        <v>60000</v>
      </c>
    </row>
    <row r="315" spans="1:6" ht="15" customHeight="1" x14ac:dyDescent="0.35">
      <c r="A315" s="11">
        <v>35</v>
      </c>
      <c r="B315" s="11" t="s">
        <v>27</v>
      </c>
      <c r="C315" s="11" t="s">
        <v>25</v>
      </c>
      <c r="D315" s="12" t="s">
        <v>121</v>
      </c>
      <c r="E315" s="11">
        <v>8</v>
      </c>
      <c r="F315" s="13">
        <v>85000</v>
      </c>
    </row>
    <row r="316" spans="1:6" ht="15" customHeight="1" x14ac:dyDescent="0.35">
      <c r="A316" s="14">
        <v>44</v>
      </c>
      <c r="B316" s="14" t="s">
        <v>24</v>
      </c>
      <c r="C316" s="14" t="s">
        <v>25</v>
      </c>
      <c r="D316" s="15" t="s">
        <v>96</v>
      </c>
      <c r="E316" s="14">
        <v>13</v>
      </c>
      <c r="F316" s="16">
        <v>130000</v>
      </c>
    </row>
    <row r="317" spans="1:6" ht="15" customHeight="1" x14ac:dyDescent="0.35">
      <c r="A317" s="11">
        <v>34</v>
      </c>
      <c r="B317" s="11" t="s">
        <v>27</v>
      </c>
      <c r="C317" s="11" t="s">
        <v>28</v>
      </c>
      <c r="D317" s="12" t="s">
        <v>188</v>
      </c>
      <c r="E317" s="11">
        <v>6</v>
      </c>
      <c r="F317" s="13">
        <v>80000</v>
      </c>
    </row>
    <row r="318" spans="1:6" ht="15" customHeight="1" x14ac:dyDescent="0.35">
      <c r="A318" s="14">
        <v>36</v>
      </c>
      <c r="B318" s="14" t="s">
        <v>24</v>
      </c>
      <c r="C318" s="14" t="s">
        <v>25</v>
      </c>
      <c r="D318" s="15" t="s">
        <v>174</v>
      </c>
      <c r="E318" s="14">
        <v>8</v>
      </c>
      <c r="F318" s="16">
        <v>95000</v>
      </c>
    </row>
    <row r="319" spans="1:6" ht="15" customHeight="1" x14ac:dyDescent="0.35">
      <c r="A319" s="11">
        <v>30</v>
      </c>
      <c r="B319" s="11" t="s">
        <v>27</v>
      </c>
      <c r="C319" s="11" t="s">
        <v>25</v>
      </c>
      <c r="D319" s="12" t="s">
        <v>166</v>
      </c>
      <c r="E319" s="11">
        <v>2</v>
      </c>
      <c r="F319" s="13">
        <v>40000</v>
      </c>
    </row>
    <row r="320" spans="1:6" ht="15" customHeight="1" x14ac:dyDescent="0.35">
      <c r="A320" s="14">
        <v>37</v>
      </c>
      <c r="B320" s="14" t="s">
        <v>24</v>
      </c>
      <c r="C320" s="14" t="s">
        <v>25</v>
      </c>
      <c r="D320" s="15" t="s">
        <v>150</v>
      </c>
      <c r="E320" s="14">
        <v>10</v>
      </c>
      <c r="F320" s="16">
        <v>120000</v>
      </c>
    </row>
    <row r="321" spans="1:6" ht="15" customHeight="1" x14ac:dyDescent="0.35">
      <c r="A321" s="11">
        <v>45</v>
      </c>
      <c r="B321" s="11" t="s">
        <v>27</v>
      </c>
      <c r="C321" s="11" t="s">
        <v>28</v>
      </c>
      <c r="D321" s="12" t="s">
        <v>108</v>
      </c>
      <c r="E321" s="11">
        <v>16</v>
      </c>
      <c r="F321" s="13">
        <v>160000</v>
      </c>
    </row>
    <row r="322" spans="1:6" ht="15" customHeight="1" x14ac:dyDescent="0.35">
      <c r="A322" s="14">
        <v>32</v>
      </c>
      <c r="B322" s="14" t="s">
        <v>24</v>
      </c>
      <c r="C322" s="14" t="s">
        <v>25</v>
      </c>
      <c r="D322" s="15" t="s">
        <v>201</v>
      </c>
      <c r="E322" s="14">
        <v>4</v>
      </c>
      <c r="F322" s="16">
        <v>65000</v>
      </c>
    </row>
    <row r="323" spans="1:6" ht="15" customHeight="1" x14ac:dyDescent="0.35">
      <c r="A323" s="11">
        <v>39</v>
      </c>
      <c r="B323" s="11" t="s">
        <v>27</v>
      </c>
      <c r="C323" s="11" t="s">
        <v>25</v>
      </c>
      <c r="D323" s="12" t="s">
        <v>105</v>
      </c>
      <c r="E323" s="11">
        <v>12</v>
      </c>
      <c r="F323" s="13">
        <v>130000</v>
      </c>
    </row>
    <row r="324" spans="1:6" ht="15" customHeight="1" x14ac:dyDescent="0.35">
      <c r="A324" s="14">
        <v>47</v>
      </c>
      <c r="B324" s="14" t="s">
        <v>24</v>
      </c>
      <c r="C324" s="14" t="s">
        <v>30</v>
      </c>
      <c r="D324" s="15" t="s">
        <v>202</v>
      </c>
      <c r="E324" s="14">
        <v>20</v>
      </c>
      <c r="F324" s="16">
        <v>180000</v>
      </c>
    </row>
    <row r="325" spans="1:6" ht="15" customHeight="1" x14ac:dyDescent="0.35">
      <c r="A325" s="11">
        <v>29</v>
      </c>
      <c r="B325" s="11" t="s">
        <v>27</v>
      </c>
      <c r="C325" s="11" t="s">
        <v>25</v>
      </c>
      <c r="D325" s="12" t="s">
        <v>127</v>
      </c>
      <c r="E325" s="11">
        <v>2</v>
      </c>
      <c r="F325" s="13">
        <v>40000</v>
      </c>
    </row>
    <row r="326" spans="1:6" ht="15" customHeight="1" x14ac:dyDescent="0.35">
      <c r="A326" s="14">
        <v>36</v>
      </c>
      <c r="B326" s="14" t="s">
        <v>24</v>
      </c>
      <c r="C326" s="14" t="s">
        <v>25</v>
      </c>
      <c r="D326" s="15" t="s">
        <v>155</v>
      </c>
      <c r="E326" s="14">
        <v>9</v>
      </c>
      <c r="F326" s="16">
        <v>100000</v>
      </c>
    </row>
    <row r="327" spans="1:6" ht="15" customHeight="1" x14ac:dyDescent="0.35">
      <c r="A327" s="11">
        <v>43</v>
      </c>
      <c r="B327" s="11" t="s">
        <v>27</v>
      </c>
      <c r="C327" s="11" t="s">
        <v>30</v>
      </c>
      <c r="D327" s="12" t="s">
        <v>85</v>
      </c>
      <c r="E327" s="11">
        <v>15</v>
      </c>
      <c r="F327" s="13">
        <v>150000</v>
      </c>
    </row>
    <row r="328" spans="1:6" ht="15" customHeight="1" x14ac:dyDescent="0.35">
      <c r="A328" s="14">
        <v>32</v>
      </c>
      <c r="B328" s="14" t="s">
        <v>24</v>
      </c>
      <c r="C328" s="14" t="s">
        <v>25</v>
      </c>
      <c r="D328" s="15" t="s">
        <v>168</v>
      </c>
      <c r="E328" s="14">
        <v>3</v>
      </c>
      <c r="F328" s="16">
        <v>55000</v>
      </c>
    </row>
    <row r="329" spans="1:6" ht="15" customHeight="1" x14ac:dyDescent="0.35">
      <c r="A329" s="11">
        <v>38</v>
      </c>
      <c r="B329" s="11" t="s">
        <v>27</v>
      </c>
      <c r="C329" s="11" t="s">
        <v>25</v>
      </c>
      <c r="D329" s="12" t="s">
        <v>126</v>
      </c>
      <c r="E329" s="11">
        <v>10</v>
      </c>
      <c r="F329" s="13">
        <v>110000</v>
      </c>
    </row>
    <row r="330" spans="1:6" ht="15" customHeight="1" x14ac:dyDescent="0.35">
      <c r="A330" s="14">
        <v>48</v>
      </c>
      <c r="B330" s="14" t="s">
        <v>24</v>
      </c>
      <c r="C330" s="14" t="s">
        <v>28</v>
      </c>
      <c r="D330" s="15" t="s">
        <v>75</v>
      </c>
      <c r="E330" s="14">
        <v>21</v>
      </c>
      <c r="F330" s="16">
        <v>180000</v>
      </c>
    </row>
    <row r="331" spans="1:6" ht="15" customHeight="1" x14ac:dyDescent="0.35">
      <c r="A331" s="11">
        <v>31</v>
      </c>
      <c r="B331" s="11" t="s">
        <v>27</v>
      </c>
      <c r="C331" s="11" t="s">
        <v>25</v>
      </c>
      <c r="D331" s="12" t="s">
        <v>163</v>
      </c>
      <c r="E331" s="11">
        <v>3</v>
      </c>
      <c r="F331" s="13">
        <v>50000</v>
      </c>
    </row>
    <row r="332" spans="1:6" ht="15" customHeight="1" x14ac:dyDescent="0.35">
      <c r="A332" s="14">
        <v>40</v>
      </c>
      <c r="B332" s="14" t="s">
        <v>24</v>
      </c>
      <c r="C332" s="14" t="s">
        <v>25</v>
      </c>
      <c r="D332" s="15" t="s">
        <v>91</v>
      </c>
      <c r="E332" s="14">
        <v>12</v>
      </c>
      <c r="F332" s="16">
        <v>130000</v>
      </c>
    </row>
    <row r="333" spans="1:6" ht="15" customHeight="1" x14ac:dyDescent="0.35">
      <c r="A333" s="11">
        <v>45</v>
      </c>
      <c r="B333" s="11" t="s">
        <v>27</v>
      </c>
      <c r="C333" s="11" t="s">
        <v>30</v>
      </c>
      <c r="D333" s="12" t="s">
        <v>172</v>
      </c>
      <c r="E333" s="11">
        <v>16</v>
      </c>
      <c r="F333" s="13">
        <v>160000</v>
      </c>
    </row>
    <row r="334" spans="1:6" ht="15" customHeight="1" x14ac:dyDescent="0.35">
      <c r="A334" s="14">
        <v>33</v>
      </c>
      <c r="B334" s="14" t="s">
        <v>24</v>
      </c>
      <c r="C334" s="14" t="s">
        <v>25</v>
      </c>
      <c r="D334" s="15" t="s">
        <v>173</v>
      </c>
      <c r="E334" s="14">
        <v>4</v>
      </c>
      <c r="F334" s="16">
        <v>60000</v>
      </c>
    </row>
    <row r="335" spans="1:6" ht="15" customHeight="1" x14ac:dyDescent="0.35">
      <c r="A335" s="11">
        <v>36</v>
      </c>
      <c r="B335" s="11" t="s">
        <v>27</v>
      </c>
      <c r="C335" s="11" t="s">
        <v>25</v>
      </c>
      <c r="D335" s="12" t="s">
        <v>108</v>
      </c>
      <c r="E335" s="11">
        <v>8</v>
      </c>
      <c r="F335" s="13">
        <v>95000</v>
      </c>
    </row>
    <row r="336" spans="1:6" ht="15" customHeight="1" x14ac:dyDescent="0.35">
      <c r="A336" s="14">
        <v>47</v>
      </c>
      <c r="B336" s="14" t="s">
        <v>24</v>
      </c>
      <c r="C336" s="14" t="s">
        <v>28</v>
      </c>
      <c r="D336" s="15" t="s">
        <v>84</v>
      </c>
      <c r="E336" s="14">
        <v>19</v>
      </c>
      <c r="F336" s="16">
        <v>170000</v>
      </c>
    </row>
    <row r="337" spans="1:6" ht="15" customHeight="1" x14ac:dyDescent="0.35">
      <c r="A337" s="11">
        <v>29</v>
      </c>
      <c r="B337" s="11" t="s">
        <v>27</v>
      </c>
      <c r="C337" s="11" t="s">
        <v>25</v>
      </c>
      <c r="D337" s="12" t="s">
        <v>146</v>
      </c>
      <c r="E337" s="11">
        <v>2</v>
      </c>
      <c r="F337" s="13">
        <v>40000</v>
      </c>
    </row>
    <row r="338" spans="1:6" ht="15" customHeight="1" x14ac:dyDescent="0.35">
      <c r="A338" s="14">
        <v>34</v>
      </c>
      <c r="B338" s="14" t="s">
        <v>24</v>
      </c>
      <c r="C338" s="14" t="s">
        <v>25</v>
      </c>
      <c r="D338" s="15" t="s">
        <v>200</v>
      </c>
      <c r="E338" s="14">
        <v>7</v>
      </c>
      <c r="F338" s="16">
        <v>90000</v>
      </c>
    </row>
    <row r="339" spans="1:6" ht="15" customHeight="1" x14ac:dyDescent="0.35">
      <c r="A339" s="11">
        <v>44</v>
      </c>
      <c r="B339" s="11" t="s">
        <v>27</v>
      </c>
      <c r="C339" s="11" t="s">
        <v>30</v>
      </c>
      <c r="D339" s="12" t="s">
        <v>126</v>
      </c>
      <c r="E339" s="11">
        <v>15</v>
      </c>
      <c r="F339" s="13">
        <v>150000</v>
      </c>
    </row>
    <row r="340" spans="1:6" ht="15" customHeight="1" x14ac:dyDescent="0.35">
      <c r="A340" s="14">
        <v>33</v>
      </c>
      <c r="B340" s="14" t="s">
        <v>24</v>
      </c>
      <c r="C340" s="14" t="s">
        <v>25</v>
      </c>
      <c r="D340" s="15" t="s">
        <v>145</v>
      </c>
      <c r="E340" s="14">
        <v>5</v>
      </c>
      <c r="F340" s="16">
        <v>70000</v>
      </c>
    </row>
    <row r="341" spans="1:6" ht="15" customHeight="1" x14ac:dyDescent="0.35">
      <c r="A341" s="11">
        <v>35</v>
      </c>
      <c r="B341" s="11" t="s">
        <v>27</v>
      </c>
      <c r="C341" s="11" t="s">
        <v>25</v>
      </c>
      <c r="D341" s="12" t="s">
        <v>195</v>
      </c>
      <c r="E341" s="11">
        <v>8</v>
      </c>
      <c r="F341" s="13">
        <v>90000</v>
      </c>
    </row>
    <row r="342" spans="1:6" ht="15" customHeight="1" x14ac:dyDescent="0.35">
      <c r="A342" s="14">
        <v>43</v>
      </c>
      <c r="B342" s="14" t="s">
        <v>24</v>
      </c>
      <c r="C342" s="14" t="s">
        <v>28</v>
      </c>
      <c r="D342" s="15" t="s">
        <v>75</v>
      </c>
      <c r="E342" s="14">
        <v>18</v>
      </c>
      <c r="F342" s="16">
        <v>170000</v>
      </c>
    </row>
    <row r="343" spans="1:6" ht="15" customHeight="1" x14ac:dyDescent="0.35">
      <c r="A343" s="11">
        <v>31</v>
      </c>
      <c r="B343" s="11" t="s">
        <v>27</v>
      </c>
      <c r="C343" s="11" t="s">
        <v>25</v>
      </c>
      <c r="D343" s="12" t="s">
        <v>154</v>
      </c>
      <c r="E343" s="11">
        <v>3</v>
      </c>
      <c r="F343" s="13">
        <v>50000</v>
      </c>
    </row>
    <row r="344" spans="1:6" ht="15" customHeight="1" x14ac:dyDescent="0.35">
      <c r="A344" s="14">
        <v>41</v>
      </c>
      <c r="B344" s="14" t="s">
        <v>24</v>
      </c>
      <c r="C344" s="14" t="s">
        <v>25</v>
      </c>
      <c r="D344" s="15" t="s">
        <v>131</v>
      </c>
      <c r="E344" s="14">
        <v>14</v>
      </c>
      <c r="F344" s="16">
        <v>150000</v>
      </c>
    </row>
    <row r="345" spans="1:6" ht="15" customHeight="1" x14ac:dyDescent="0.35">
      <c r="A345" s="11">
        <v>44</v>
      </c>
      <c r="B345" s="11" t="s">
        <v>27</v>
      </c>
      <c r="C345" s="11" t="s">
        <v>30</v>
      </c>
      <c r="D345" s="12" t="s">
        <v>197</v>
      </c>
      <c r="E345" s="11">
        <v>16</v>
      </c>
      <c r="F345" s="13">
        <v>160000</v>
      </c>
    </row>
    <row r="346" spans="1:6" ht="15" customHeight="1" x14ac:dyDescent="0.35">
      <c r="A346" s="14">
        <v>33</v>
      </c>
      <c r="B346" s="14" t="s">
        <v>24</v>
      </c>
      <c r="C346" s="14" t="s">
        <v>25</v>
      </c>
      <c r="D346" s="15" t="s">
        <v>143</v>
      </c>
      <c r="E346" s="14">
        <v>4</v>
      </c>
      <c r="F346" s="16">
        <v>60000</v>
      </c>
    </row>
    <row r="347" spans="1:6" ht="15" customHeight="1" x14ac:dyDescent="0.35">
      <c r="A347" s="11">
        <v>35</v>
      </c>
      <c r="B347" s="11" t="s">
        <v>27</v>
      </c>
      <c r="C347" s="11" t="s">
        <v>25</v>
      </c>
      <c r="D347" s="12" t="s">
        <v>121</v>
      </c>
      <c r="E347" s="11">
        <v>8</v>
      </c>
      <c r="F347" s="13">
        <v>85000</v>
      </c>
    </row>
    <row r="348" spans="1:6" ht="15" customHeight="1" x14ac:dyDescent="0.35">
      <c r="A348" s="14">
        <v>45</v>
      </c>
      <c r="B348" s="14" t="s">
        <v>24</v>
      </c>
      <c r="C348" s="14" t="s">
        <v>28</v>
      </c>
      <c r="D348" s="15" t="s">
        <v>202</v>
      </c>
      <c r="E348" s="14">
        <v>19</v>
      </c>
      <c r="F348" s="16">
        <v>180000</v>
      </c>
    </row>
    <row r="349" spans="1:6" ht="15" customHeight="1" x14ac:dyDescent="0.35">
      <c r="A349" s="11">
        <v>28</v>
      </c>
      <c r="B349" s="11" t="s">
        <v>27</v>
      </c>
      <c r="C349" s="11" t="s">
        <v>25</v>
      </c>
      <c r="D349" s="12" t="s">
        <v>192</v>
      </c>
      <c r="E349" s="11">
        <v>1</v>
      </c>
      <c r="F349" s="13">
        <v>35000</v>
      </c>
    </row>
    <row r="350" spans="1:6" ht="15" customHeight="1" x14ac:dyDescent="0.35">
      <c r="A350" s="14">
        <v>36</v>
      </c>
      <c r="B350" s="14" t="s">
        <v>24</v>
      </c>
      <c r="C350" s="14" t="s">
        <v>25</v>
      </c>
      <c r="D350" s="15" t="s">
        <v>150</v>
      </c>
      <c r="E350" s="14">
        <v>8</v>
      </c>
      <c r="F350" s="16">
        <v>110000</v>
      </c>
    </row>
    <row r="351" spans="1:6" ht="15" customHeight="1" x14ac:dyDescent="0.35">
      <c r="A351" s="11">
        <v>44</v>
      </c>
      <c r="B351" s="11" t="s">
        <v>27</v>
      </c>
      <c r="C351" s="11" t="s">
        <v>30</v>
      </c>
      <c r="D351" s="12" t="s">
        <v>85</v>
      </c>
      <c r="E351" s="11">
        <v>16</v>
      </c>
      <c r="F351" s="13">
        <v>160000</v>
      </c>
    </row>
    <row r="352" spans="1:6" ht="15" customHeight="1" x14ac:dyDescent="0.35">
      <c r="A352" s="14">
        <v>31</v>
      </c>
      <c r="B352" s="14" t="s">
        <v>24</v>
      </c>
      <c r="C352" s="14" t="s">
        <v>25</v>
      </c>
      <c r="D352" s="15" t="s">
        <v>168</v>
      </c>
      <c r="E352" s="14">
        <v>3</v>
      </c>
      <c r="F352" s="16">
        <v>55000</v>
      </c>
    </row>
    <row r="353" spans="1:6" ht="15" customHeight="1" x14ac:dyDescent="0.35">
      <c r="A353" s="11">
        <v>38</v>
      </c>
      <c r="B353" s="11" t="s">
        <v>27</v>
      </c>
      <c r="C353" s="11" t="s">
        <v>25</v>
      </c>
      <c r="D353" s="12" t="s">
        <v>126</v>
      </c>
      <c r="E353" s="11">
        <v>10</v>
      </c>
      <c r="F353" s="13">
        <v>110000</v>
      </c>
    </row>
    <row r="354" spans="1:6" ht="15" customHeight="1" x14ac:dyDescent="0.35">
      <c r="A354" s="14">
        <v>48</v>
      </c>
      <c r="B354" s="14" t="s">
        <v>24</v>
      </c>
      <c r="C354" s="14" t="s">
        <v>28</v>
      </c>
      <c r="D354" s="15" t="s">
        <v>75</v>
      </c>
      <c r="E354" s="14">
        <v>21</v>
      </c>
      <c r="F354" s="16">
        <v>180000</v>
      </c>
    </row>
    <row r="355" spans="1:6" ht="15" customHeight="1" x14ac:dyDescent="0.35">
      <c r="A355" s="11">
        <v>31</v>
      </c>
      <c r="B355" s="11" t="s">
        <v>27</v>
      </c>
      <c r="C355" s="11" t="s">
        <v>25</v>
      </c>
      <c r="D355" s="12" t="s">
        <v>163</v>
      </c>
      <c r="E355" s="11">
        <v>3</v>
      </c>
      <c r="F355" s="13">
        <v>50000</v>
      </c>
    </row>
    <row r="356" spans="1:6" ht="15" customHeight="1" x14ac:dyDescent="0.35">
      <c r="A356" s="14">
        <v>40</v>
      </c>
      <c r="B356" s="14" t="s">
        <v>24</v>
      </c>
      <c r="C356" s="14" t="s">
        <v>25</v>
      </c>
      <c r="D356" s="15" t="s">
        <v>91</v>
      </c>
      <c r="E356" s="14">
        <v>12</v>
      </c>
      <c r="F356" s="16">
        <v>130000</v>
      </c>
    </row>
    <row r="357" spans="1:6" ht="15" customHeight="1" x14ac:dyDescent="0.35">
      <c r="A357" s="11">
        <v>45</v>
      </c>
      <c r="B357" s="11" t="s">
        <v>27</v>
      </c>
      <c r="C357" s="11" t="s">
        <v>30</v>
      </c>
      <c r="D357" s="12" t="s">
        <v>172</v>
      </c>
      <c r="E357" s="11">
        <v>16</v>
      </c>
      <c r="F357" s="13">
        <v>160000</v>
      </c>
    </row>
    <row r="358" spans="1:6" ht="15" customHeight="1" x14ac:dyDescent="0.35">
      <c r="A358" s="14">
        <v>33</v>
      </c>
      <c r="B358" s="14" t="s">
        <v>24</v>
      </c>
      <c r="C358" s="14" t="s">
        <v>25</v>
      </c>
      <c r="D358" s="15" t="s">
        <v>173</v>
      </c>
      <c r="E358" s="14">
        <v>4</v>
      </c>
      <c r="F358" s="16">
        <v>60000</v>
      </c>
    </row>
    <row r="359" spans="1:6" ht="15" customHeight="1" x14ac:dyDescent="0.35">
      <c r="A359" s="11">
        <v>36</v>
      </c>
      <c r="B359" s="11" t="s">
        <v>27</v>
      </c>
      <c r="C359" s="11" t="s">
        <v>25</v>
      </c>
      <c r="D359" s="12" t="s">
        <v>108</v>
      </c>
      <c r="E359" s="11">
        <v>8</v>
      </c>
      <c r="F359" s="13">
        <v>95000</v>
      </c>
    </row>
    <row r="360" spans="1:6" ht="15" customHeight="1" x14ac:dyDescent="0.35">
      <c r="A360" s="14">
        <v>47</v>
      </c>
      <c r="B360" s="14" t="s">
        <v>24</v>
      </c>
      <c r="C360" s="14" t="s">
        <v>28</v>
      </c>
      <c r="D360" s="15" t="s">
        <v>84</v>
      </c>
      <c r="E360" s="14">
        <v>19</v>
      </c>
      <c r="F360" s="16">
        <v>170000</v>
      </c>
    </row>
    <row r="361" spans="1:6" ht="15" customHeight="1" x14ac:dyDescent="0.35">
      <c r="A361" s="11">
        <v>29</v>
      </c>
      <c r="B361" s="11" t="s">
        <v>27</v>
      </c>
      <c r="C361" s="11" t="s">
        <v>25</v>
      </c>
      <c r="D361" s="12" t="s">
        <v>146</v>
      </c>
      <c r="E361" s="11">
        <v>2</v>
      </c>
      <c r="F361" s="13">
        <v>40000</v>
      </c>
    </row>
    <row r="362" spans="1:6" ht="15" customHeight="1" x14ac:dyDescent="0.35">
      <c r="A362" s="14">
        <v>34</v>
      </c>
      <c r="B362" s="14" t="s">
        <v>24</v>
      </c>
      <c r="C362" s="14" t="s">
        <v>25</v>
      </c>
      <c r="D362" s="15" t="s">
        <v>200</v>
      </c>
      <c r="E362" s="14">
        <v>7</v>
      </c>
      <c r="F362" s="16">
        <v>90000</v>
      </c>
    </row>
    <row r="363" spans="1:6" ht="15" customHeight="1" x14ac:dyDescent="0.35">
      <c r="A363" s="11">
        <v>44</v>
      </c>
      <c r="B363" s="11" t="s">
        <v>27</v>
      </c>
      <c r="C363" s="11" t="s">
        <v>30</v>
      </c>
      <c r="D363" s="12" t="s">
        <v>126</v>
      </c>
      <c r="E363" s="11">
        <v>15</v>
      </c>
      <c r="F363" s="13">
        <v>150000</v>
      </c>
    </row>
    <row r="364" spans="1:6" ht="15" customHeight="1" x14ac:dyDescent="0.35">
      <c r="A364" s="14">
        <v>33</v>
      </c>
      <c r="B364" s="14" t="s">
        <v>24</v>
      </c>
      <c r="C364" s="14" t="s">
        <v>25</v>
      </c>
      <c r="D364" s="15" t="s">
        <v>145</v>
      </c>
      <c r="E364" s="14">
        <v>5</v>
      </c>
      <c r="F364" s="16">
        <v>70000</v>
      </c>
    </row>
    <row r="365" spans="1:6" ht="15" customHeight="1" x14ac:dyDescent="0.35">
      <c r="A365" s="11">
        <v>35</v>
      </c>
      <c r="B365" s="11" t="s">
        <v>27</v>
      </c>
      <c r="C365" s="11" t="s">
        <v>25</v>
      </c>
      <c r="D365" s="12" t="s">
        <v>195</v>
      </c>
      <c r="E365" s="11">
        <v>8</v>
      </c>
      <c r="F365" s="13">
        <v>90000</v>
      </c>
    </row>
    <row r="366" spans="1:6" ht="15" customHeight="1" x14ac:dyDescent="0.35">
      <c r="A366" s="14">
        <v>43</v>
      </c>
      <c r="B366" s="14" t="s">
        <v>24</v>
      </c>
      <c r="C366" s="14" t="s">
        <v>28</v>
      </c>
      <c r="D366" s="15" t="s">
        <v>75</v>
      </c>
      <c r="E366" s="14">
        <v>18</v>
      </c>
      <c r="F366" s="16">
        <v>170000</v>
      </c>
    </row>
    <row r="367" spans="1:6" ht="15" customHeight="1" x14ac:dyDescent="0.35">
      <c r="A367" s="11">
        <v>31</v>
      </c>
      <c r="B367" s="11" t="s">
        <v>27</v>
      </c>
      <c r="C367" s="11" t="s">
        <v>25</v>
      </c>
      <c r="D367" s="12" t="s">
        <v>154</v>
      </c>
      <c r="E367" s="11">
        <v>3</v>
      </c>
      <c r="F367" s="13">
        <v>50000</v>
      </c>
    </row>
    <row r="368" spans="1:6" ht="15" customHeight="1" x14ac:dyDescent="0.35">
      <c r="A368" s="14">
        <v>41</v>
      </c>
      <c r="B368" s="14" t="s">
        <v>24</v>
      </c>
      <c r="C368" s="14" t="s">
        <v>25</v>
      </c>
      <c r="D368" s="15" t="s">
        <v>131</v>
      </c>
      <c r="E368" s="14">
        <v>14</v>
      </c>
      <c r="F368" s="16">
        <v>150000</v>
      </c>
    </row>
    <row r="369" spans="1:6" ht="15" customHeight="1" x14ac:dyDescent="0.35">
      <c r="A369" s="11">
        <v>44</v>
      </c>
      <c r="B369" s="11" t="s">
        <v>27</v>
      </c>
      <c r="C369" s="11" t="s">
        <v>30</v>
      </c>
      <c r="D369" s="12" t="s">
        <v>197</v>
      </c>
      <c r="E369" s="11">
        <v>16</v>
      </c>
      <c r="F369" s="13">
        <v>160000</v>
      </c>
    </row>
    <row r="370" spans="1:6" ht="15" customHeight="1" x14ac:dyDescent="0.35">
      <c r="A370" s="14">
        <v>33</v>
      </c>
      <c r="B370" s="14" t="s">
        <v>24</v>
      </c>
      <c r="C370" s="14" t="s">
        <v>25</v>
      </c>
      <c r="D370" s="15" t="s">
        <v>143</v>
      </c>
      <c r="E370" s="14">
        <v>4</v>
      </c>
      <c r="F370" s="16">
        <v>60000</v>
      </c>
    </row>
    <row r="371" spans="1:6" ht="15" customHeight="1" x14ac:dyDescent="0.35">
      <c r="A371" s="11">
        <v>35</v>
      </c>
      <c r="B371" s="11" t="s">
        <v>27</v>
      </c>
      <c r="C371" s="11" t="s">
        <v>25</v>
      </c>
      <c r="D371" s="12" t="s">
        <v>121</v>
      </c>
      <c r="E371" s="11">
        <v>8</v>
      </c>
      <c r="F371" s="13">
        <v>85000</v>
      </c>
    </row>
    <row r="372" spans="1:6" ht="15" customHeight="1" x14ac:dyDescent="0.35">
      <c r="A372" s="14">
        <v>43</v>
      </c>
      <c r="B372" s="14" t="s">
        <v>24</v>
      </c>
      <c r="C372" s="14" t="s">
        <v>28</v>
      </c>
      <c r="D372" s="15" t="s">
        <v>84</v>
      </c>
      <c r="E372" s="14">
        <v>19</v>
      </c>
      <c r="F372" s="16">
        <v>170000</v>
      </c>
    </row>
    <row r="373" spans="1:6" ht="15" customHeight="1" x14ac:dyDescent="0.35">
      <c r="A373" s="11">
        <v>29</v>
      </c>
      <c r="B373" s="11" t="s">
        <v>27</v>
      </c>
      <c r="C373" s="11" t="s">
        <v>25</v>
      </c>
      <c r="D373" s="12" t="s">
        <v>146</v>
      </c>
      <c r="E373" s="11">
        <v>2</v>
      </c>
      <c r="F373" s="13">
        <v>40000</v>
      </c>
    </row>
    <row r="374" spans="1:6" ht="15" customHeight="1" x14ac:dyDescent="0.35">
      <c r="A374" s="14">
        <v>34</v>
      </c>
      <c r="B374" s="14" t="s">
        <v>24</v>
      </c>
      <c r="C374" s="14" t="s">
        <v>25</v>
      </c>
      <c r="D374" s="15" t="s">
        <v>200</v>
      </c>
      <c r="E374" s="14">
        <v>7</v>
      </c>
      <c r="F374" s="16">
        <v>90000</v>
      </c>
    </row>
    <row r="375" spans="1:6" ht="15" customHeight="1" x14ac:dyDescent="0.35">
      <c r="A375" s="11">
        <v>44</v>
      </c>
      <c r="B375" s="11" t="s">
        <v>27</v>
      </c>
      <c r="C375" s="11" t="s">
        <v>30</v>
      </c>
      <c r="D375" s="12" t="s">
        <v>126</v>
      </c>
      <c r="E375" s="11">
        <v>15</v>
      </c>
      <c r="F375" s="13">
        <v>150000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38" customWidth="1"/>
    <col min="3" max="3" width="8" customWidth="1"/>
    <col min="4" max="4" width="10" customWidth="1"/>
    <col min="5" max="5" width="16" customWidth="1"/>
    <col min="6" max="6" width="12" customWidth="1"/>
    <col min="7" max="7" width="14" customWidth="1"/>
    <col min="8" max="12" width="12" customWidth="1"/>
  </cols>
  <sheetData>
    <row r="1" spans="1:12" ht="25.5" customHeight="1" x14ac:dyDescent="0.35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</row>
    <row r="2" spans="1:12" ht="15" customHeight="1" x14ac:dyDescent="0.35">
      <c r="A2" s="7" t="s">
        <v>204</v>
      </c>
      <c r="B2" s="7" t="s">
        <v>21</v>
      </c>
      <c r="C2" s="7" t="s">
        <v>19</v>
      </c>
      <c r="D2" s="7" t="s">
        <v>14</v>
      </c>
      <c r="E2" s="7" t="s">
        <v>20</v>
      </c>
      <c r="F2" s="7" t="s">
        <v>205</v>
      </c>
      <c r="G2" s="7" t="s">
        <v>23</v>
      </c>
      <c r="H2" s="7" t="s">
        <v>206</v>
      </c>
      <c r="I2" s="7" t="s">
        <v>207</v>
      </c>
      <c r="J2" s="7" t="s">
        <v>208</v>
      </c>
      <c r="K2" s="7" t="s">
        <v>209</v>
      </c>
      <c r="L2" s="7" t="s">
        <v>210</v>
      </c>
    </row>
    <row r="3" spans="1:12" ht="15" customHeight="1" x14ac:dyDescent="0.35">
      <c r="A3" s="14">
        <v>1</v>
      </c>
      <c r="B3" s="17" t="str">
        <f>'Data Mentah'!D3</f>
        <v>Software Engineer</v>
      </c>
      <c r="C3" s="18">
        <f>'Data Mentah'!A3</f>
        <v>32</v>
      </c>
      <c r="D3" s="14" t="str">
        <f>'Data Mentah'!B3</f>
        <v>Male</v>
      </c>
      <c r="E3" s="14" t="str">
        <f>'Data Mentah'!C3</f>
        <v>Bachelor's</v>
      </c>
      <c r="F3" s="19">
        <f>'Data Mentah'!E3</f>
        <v>5</v>
      </c>
      <c r="G3" s="20">
        <f>'Data Mentah'!F3</f>
        <v>90000</v>
      </c>
      <c r="H3" s="21">
        <f t="shared" ref="H3:H66" si="0">IF(MAX($C$3:$C$375)=MIN($C$3:$C$375),5,1+9*(C3-MIN($C$3:$C$375))/(MAX($C$3:$C$375)-MIN($C$3:$C$375)))</f>
        <v>3.7</v>
      </c>
      <c r="I3" s="21">
        <f t="shared" ref="I3:I66" si="1">1+9*(IF(E3="PhD",3,IF(E3="Master's",2,1))-1)/(3-1)</f>
        <v>1</v>
      </c>
      <c r="J3" s="21">
        <f t="shared" ref="J3:J66" si="2">IF(MAX($F$3:$F$375)=MIN($F$3:$F$375),5,1+9*(F3-MIN($F$3:$F$375))/(MAX($F$3:$F$375)-MIN($F$3:$F$375)))</f>
        <v>2.8</v>
      </c>
      <c r="K3" s="21">
        <f t="shared" ref="K3:K66" si="3">IF(MAX($G$3:$G$375)=MIN($G$3:$G$375),5,1+9*(G3-MIN($G$3:$G$375))/(MAX($G$3:$G$375)-MIN($G$3:$G$375)))</f>
        <v>4.2319246945724007</v>
      </c>
      <c r="L3" s="21">
        <f t="shared" ref="L3:L66" si="4">1+9*(IF(D3="Female",2,IF(D3="Male",1,1.5))-1)/(2-1)</f>
        <v>1</v>
      </c>
    </row>
    <row r="4" spans="1:12" ht="15" customHeight="1" x14ac:dyDescent="0.35">
      <c r="A4" s="11">
        <v>2</v>
      </c>
      <c r="B4" s="8" t="str">
        <f>'Data Mentah'!D4</f>
        <v>Data Analyst</v>
      </c>
      <c r="C4" s="22">
        <f>'Data Mentah'!A4</f>
        <v>28</v>
      </c>
      <c r="D4" s="11" t="str">
        <f>'Data Mentah'!B4</f>
        <v>Female</v>
      </c>
      <c r="E4" s="11" t="str">
        <f>'Data Mentah'!C4</f>
        <v>Master's</v>
      </c>
      <c r="F4" s="23">
        <f>'Data Mentah'!E4</f>
        <v>3</v>
      </c>
      <c r="G4" s="24">
        <f>'Data Mentah'!F4</f>
        <v>65000</v>
      </c>
      <c r="H4" s="25">
        <f t="shared" si="0"/>
        <v>2.5</v>
      </c>
      <c r="I4" s="25">
        <f t="shared" si="1"/>
        <v>5.5</v>
      </c>
      <c r="J4" s="25">
        <f t="shared" si="2"/>
        <v>2.08</v>
      </c>
      <c r="K4" s="25">
        <f t="shared" si="3"/>
        <v>3.3306629280993389</v>
      </c>
      <c r="L4" s="25">
        <f t="shared" si="4"/>
        <v>10</v>
      </c>
    </row>
    <row r="5" spans="1:12" ht="15" customHeight="1" x14ac:dyDescent="0.35">
      <c r="A5" s="14">
        <v>3</v>
      </c>
      <c r="B5" s="17" t="str">
        <f>'Data Mentah'!D5</f>
        <v>Senior Manager</v>
      </c>
      <c r="C5" s="18">
        <f>'Data Mentah'!A5</f>
        <v>45</v>
      </c>
      <c r="D5" s="14" t="str">
        <f>'Data Mentah'!B5</f>
        <v>Male</v>
      </c>
      <c r="E5" s="14" t="str">
        <f>'Data Mentah'!C5</f>
        <v>PhD</v>
      </c>
      <c r="F5" s="19">
        <f>'Data Mentah'!E5</f>
        <v>15</v>
      </c>
      <c r="G5" s="20">
        <f>'Data Mentah'!F5</f>
        <v>150000</v>
      </c>
      <c r="H5" s="21">
        <f t="shared" si="0"/>
        <v>7.6</v>
      </c>
      <c r="I5" s="21">
        <f t="shared" si="1"/>
        <v>10</v>
      </c>
      <c r="J5" s="21">
        <f t="shared" si="2"/>
        <v>6.4</v>
      </c>
      <c r="K5" s="21">
        <f t="shared" si="3"/>
        <v>6.3949529341077511</v>
      </c>
      <c r="L5" s="21">
        <f t="shared" si="4"/>
        <v>1</v>
      </c>
    </row>
    <row r="6" spans="1:12" ht="15" customHeight="1" x14ac:dyDescent="0.35">
      <c r="A6" s="11">
        <v>4</v>
      </c>
      <c r="B6" s="8" t="str">
        <f>'Data Mentah'!D6</f>
        <v>Sales Associate</v>
      </c>
      <c r="C6" s="22">
        <f>'Data Mentah'!A6</f>
        <v>36</v>
      </c>
      <c r="D6" s="11" t="str">
        <f>'Data Mentah'!B6</f>
        <v>Female</v>
      </c>
      <c r="E6" s="11" t="str">
        <f>'Data Mentah'!C6</f>
        <v>Bachelor's</v>
      </c>
      <c r="F6" s="23">
        <f>'Data Mentah'!E6</f>
        <v>7</v>
      </c>
      <c r="G6" s="24">
        <f>'Data Mentah'!F6</f>
        <v>60000</v>
      </c>
      <c r="H6" s="25">
        <f t="shared" si="0"/>
        <v>4.9000000000000004</v>
      </c>
      <c r="I6" s="25">
        <f t="shared" si="1"/>
        <v>1</v>
      </c>
      <c r="J6" s="25">
        <f t="shared" si="2"/>
        <v>3.52</v>
      </c>
      <c r="K6" s="25">
        <f t="shared" si="3"/>
        <v>3.1504105748047264</v>
      </c>
      <c r="L6" s="25">
        <f t="shared" si="4"/>
        <v>10</v>
      </c>
    </row>
    <row r="7" spans="1:12" ht="15" customHeight="1" x14ac:dyDescent="0.35">
      <c r="A7" s="14">
        <v>5</v>
      </c>
      <c r="B7" s="17" t="str">
        <f>'Data Mentah'!D7</f>
        <v>Director</v>
      </c>
      <c r="C7" s="18">
        <f>'Data Mentah'!A7</f>
        <v>52</v>
      </c>
      <c r="D7" s="14" t="str">
        <f>'Data Mentah'!B7</f>
        <v>Male</v>
      </c>
      <c r="E7" s="14" t="str">
        <f>'Data Mentah'!C7</f>
        <v>Master's</v>
      </c>
      <c r="F7" s="19">
        <f>'Data Mentah'!E7</f>
        <v>20</v>
      </c>
      <c r="G7" s="20">
        <f>'Data Mentah'!F7</f>
        <v>200000</v>
      </c>
      <c r="H7" s="21">
        <f t="shared" si="0"/>
        <v>9.6999999999999993</v>
      </c>
      <c r="I7" s="21">
        <f t="shared" si="1"/>
        <v>5.5</v>
      </c>
      <c r="J7" s="21">
        <f t="shared" si="2"/>
        <v>8.1999999999999993</v>
      </c>
      <c r="K7" s="21">
        <f t="shared" si="3"/>
        <v>8.1974764670538747</v>
      </c>
      <c r="L7" s="21">
        <f t="shared" si="4"/>
        <v>1</v>
      </c>
    </row>
    <row r="8" spans="1:12" ht="15" customHeight="1" x14ac:dyDescent="0.35">
      <c r="A8" s="11">
        <v>6</v>
      </c>
      <c r="B8" s="8" t="str">
        <f>'Data Mentah'!D8</f>
        <v>Marketing Analyst</v>
      </c>
      <c r="C8" s="22">
        <f>'Data Mentah'!A8</f>
        <v>29</v>
      </c>
      <c r="D8" s="11" t="str">
        <f>'Data Mentah'!B8</f>
        <v>Male</v>
      </c>
      <c r="E8" s="11" t="str">
        <f>'Data Mentah'!C8</f>
        <v>Bachelor's</v>
      </c>
      <c r="F8" s="23">
        <f>'Data Mentah'!E8</f>
        <v>2</v>
      </c>
      <c r="G8" s="24">
        <f>'Data Mentah'!F8</f>
        <v>55000</v>
      </c>
      <c r="H8" s="25">
        <f t="shared" si="0"/>
        <v>2.8</v>
      </c>
      <c r="I8" s="25">
        <f t="shared" si="1"/>
        <v>1</v>
      </c>
      <c r="J8" s="25">
        <f t="shared" si="2"/>
        <v>1.72</v>
      </c>
      <c r="K8" s="25">
        <f t="shared" si="3"/>
        <v>2.9701582215101139</v>
      </c>
      <c r="L8" s="25">
        <f t="shared" si="4"/>
        <v>1</v>
      </c>
    </row>
    <row r="9" spans="1:12" ht="15" customHeight="1" x14ac:dyDescent="0.35">
      <c r="A9" s="14">
        <v>7</v>
      </c>
      <c r="B9" s="17" t="str">
        <f>'Data Mentah'!D9</f>
        <v>Product Manager</v>
      </c>
      <c r="C9" s="18">
        <f>'Data Mentah'!A9</f>
        <v>42</v>
      </c>
      <c r="D9" s="14" t="str">
        <f>'Data Mentah'!B9</f>
        <v>Female</v>
      </c>
      <c r="E9" s="14" t="str">
        <f>'Data Mentah'!C9</f>
        <v>Master's</v>
      </c>
      <c r="F9" s="19">
        <f>'Data Mentah'!E9</f>
        <v>12</v>
      </c>
      <c r="G9" s="20">
        <f>'Data Mentah'!F9</f>
        <v>120000</v>
      </c>
      <c r="H9" s="21">
        <f t="shared" si="0"/>
        <v>6.7</v>
      </c>
      <c r="I9" s="21">
        <f t="shared" si="1"/>
        <v>5.5</v>
      </c>
      <c r="J9" s="21">
        <f t="shared" si="2"/>
        <v>5.32</v>
      </c>
      <c r="K9" s="21">
        <f t="shared" si="3"/>
        <v>5.3134388143400759</v>
      </c>
      <c r="L9" s="21">
        <f t="shared" si="4"/>
        <v>10</v>
      </c>
    </row>
    <row r="10" spans="1:12" ht="15" customHeight="1" x14ac:dyDescent="0.35">
      <c r="A10" s="11">
        <v>8</v>
      </c>
      <c r="B10" s="8" t="str">
        <f>'Data Mentah'!D10</f>
        <v>Sales Manager</v>
      </c>
      <c r="C10" s="22">
        <f>'Data Mentah'!A10</f>
        <v>31</v>
      </c>
      <c r="D10" s="11" t="str">
        <f>'Data Mentah'!B10</f>
        <v>Male</v>
      </c>
      <c r="E10" s="11" t="str">
        <f>'Data Mentah'!C10</f>
        <v>Bachelor's</v>
      </c>
      <c r="F10" s="23">
        <f>'Data Mentah'!E10</f>
        <v>4</v>
      </c>
      <c r="G10" s="24">
        <f>'Data Mentah'!F10</f>
        <v>80000</v>
      </c>
      <c r="H10" s="25">
        <f t="shared" si="0"/>
        <v>3.4</v>
      </c>
      <c r="I10" s="25">
        <f t="shared" si="1"/>
        <v>1</v>
      </c>
      <c r="J10" s="25">
        <f t="shared" si="2"/>
        <v>2.44</v>
      </c>
      <c r="K10" s="25">
        <f t="shared" si="3"/>
        <v>3.8714199879831765</v>
      </c>
      <c r="L10" s="25">
        <f t="shared" si="4"/>
        <v>1</v>
      </c>
    </row>
    <row r="11" spans="1:12" ht="15" customHeight="1" x14ac:dyDescent="0.35">
      <c r="A11" s="14">
        <v>9</v>
      </c>
      <c r="B11" s="17" t="str">
        <f>'Data Mentah'!D11</f>
        <v>Marketing Coordinator</v>
      </c>
      <c r="C11" s="18">
        <f>'Data Mentah'!A11</f>
        <v>26</v>
      </c>
      <c r="D11" s="14" t="str">
        <f>'Data Mentah'!B11</f>
        <v>Female</v>
      </c>
      <c r="E11" s="14" t="str">
        <f>'Data Mentah'!C11</f>
        <v>Bachelor's</v>
      </c>
      <c r="F11" s="19">
        <f>'Data Mentah'!E11</f>
        <v>1</v>
      </c>
      <c r="G11" s="20">
        <f>'Data Mentah'!F11</f>
        <v>45000</v>
      </c>
      <c r="H11" s="21">
        <f t="shared" si="0"/>
        <v>1.9</v>
      </c>
      <c r="I11" s="21">
        <f t="shared" si="1"/>
        <v>1</v>
      </c>
      <c r="J11" s="21">
        <f t="shared" si="2"/>
        <v>1.3599999999999999</v>
      </c>
      <c r="K11" s="21">
        <f t="shared" si="3"/>
        <v>2.6096535149208893</v>
      </c>
      <c r="L11" s="21">
        <f t="shared" si="4"/>
        <v>10</v>
      </c>
    </row>
    <row r="12" spans="1:12" ht="15" customHeight="1" x14ac:dyDescent="0.35">
      <c r="A12" s="11">
        <v>10</v>
      </c>
      <c r="B12" s="8" t="str">
        <f>'Data Mentah'!D12</f>
        <v>Senior Scientist</v>
      </c>
      <c r="C12" s="22">
        <f>'Data Mentah'!A12</f>
        <v>38</v>
      </c>
      <c r="D12" s="11" t="str">
        <f>'Data Mentah'!B12</f>
        <v>Male</v>
      </c>
      <c r="E12" s="11" t="str">
        <f>'Data Mentah'!C12</f>
        <v>PhD</v>
      </c>
      <c r="F12" s="23">
        <f>'Data Mentah'!E12</f>
        <v>10</v>
      </c>
      <c r="G12" s="24">
        <f>'Data Mentah'!F12</f>
        <v>110000</v>
      </c>
      <c r="H12" s="25">
        <f t="shared" si="0"/>
        <v>5.5</v>
      </c>
      <c r="I12" s="25">
        <f t="shared" si="1"/>
        <v>10</v>
      </c>
      <c r="J12" s="25">
        <f t="shared" si="2"/>
        <v>4.5999999999999996</v>
      </c>
      <c r="K12" s="25">
        <f t="shared" si="3"/>
        <v>4.9529341077508509</v>
      </c>
      <c r="L12" s="25">
        <f t="shared" si="4"/>
        <v>1</v>
      </c>
    </row>
    <row r="13" spans="1:12" ht="15" customHeight="1" x14ac:dyDescent="0.35">
      <c r="A13" s="14">
        <v>11</v>
      </c>
      <c r="B13" s="17" t="str">
        <f>'Data Mentah'!D13</f>
        <v>Software Developer</v>
      </c>
      <c r="C13" s="18">
        <f>'Data Mentah'!A13</f>
        <v>29</v>
      </c>
      <c r="D13" s="14" t="str">
        <f>'Data Mentah'!B13</f>
        <v>Male</v>
      </c>
      <c r="E13" s="14" t="str">
        <f>'Data Mentah'!C13</f>
        <v>Master's</v>
      </c>
      <c r="F13" s="19">
        <f>'Data Mentah'!E13</f>
        <v>3</v>
      </c>
      <c r="G13" s="20">
        <f>'Data Mentah'!F13</f>
        <v>75000</v>
      </c>
      <c r="H13" s="21">
        <f t="shared" si="0"/>
        <v>2.8</v>
      </c>
      <c r="I13" s="21">
        <f t="shared" si="1"/>
        <v>5.5</v>
      </c>
      <c r="J13" s="21">
        <f t="shared" si="2"/>
        <v>2.08</v>
      </c>
      <c r="K13" s="21">
        <f t="shared" si="3"/>
        <v>3.691167634688564</v>
      </c>
      <c r="L13" s="21">
        <f t="shared" si="4"/>
        <v>1</v>
      </c>
    </row>
    <row r="14" spans="1:12" ht="15" customHeight="1" x14ac:dyDescent="0.35">
      <c r="A14" s="11">
        <v>12</v>
      </c>
      <c r="B14" s="8" t="str">
        <f>'Data Mentah'!D14</f>
        <v>HR Manager</v>
      </c>
      <c r="C14" s="22">
        <f>'Data Mentah'!A14</f>
        <v>48</v>
      </c>
      <c r="D14" s="11" t="str">
        <f>'Data Mentah'!B14</f>
        <v>Female</v>
      </c>
      <c r="E14" s="11" t="str">
        <f>'Data Mentah'!C14</f>
        <v>Bachelor's</v>
      </c>
      <c r="F14" s="23">
        <f>'Data Mentah'!E14</f>
        <v>18</v>
      </c>
      <c r="G14" s="24">
        <f>'Data Mentah'!F14</f>
        <v>140000</v>
      </c>
      <c r="H14" s="25">
        <f t="shared" si="0"/>
        <v>8.5</v>
      </c>
      <c r="I14" s="25">
        <f t="shared" si="1"/>
        <v>1</v>
      </c>
      <c r="J14" s="25">
        <f t="shared" si="2"/>
        <v>7.48</v>
      </c>
      <c r="K14" s="25">
        <f t="shared" si="3"/>
        <v>6.0344482275185261</v>
      </c>
      <c r="L14" s="25">
        <f t="shared" si="4"/>
        <v>10</v>
      </c>
    </row>
    <row r="15" spans="1:12" ht="15" customHeight="1" x14ac:dyDescent="0.35">
      <c r="A15" s="14">
        <v>13</v>
      </c>
      <c r="B15" s="17" t="str">
        <f>'Data Mentah'!D15</f>
        <v>Financial Analyst</v>
      </c>
      <c r="C15" s="18">
        <f>'Data Mentah'!A15</f>
        <v>35</v>
      </c>
      <c r="D15" s="14" t="str">
        <f>'Data Mentah'!B15</f>
        <v>Male</v>
      </c>
      <c r="E15" s="14" t="str">
        <f>'Data Mentah'!C15</f>
        <v>Bachelor's</v>
      </c>
      <c r="F15" s="19">
        <f>'Data Mentah'!E15</f>
        <v>6</v>
      </c>
      <c r="G15" s="20">
        <f>'Data Mentah'!F15</f>
        <v>65000</v>
      </c>
      <c r="H15" s="21">
        <f t="shared" si="0"/>
        <v>4.5999999999999996</v>
      </c>
      <c r="I15" s="21">
        <f t="shared" si="1"/>
        <v>1</v>
      </c>
      <c r="J15" s="21">
        <f t="shared" si="2"/>
        <v>3.16</v>
      </c>
      <c r="K15" s="21">
        <f t="shared" si="3"/>
        <v>3.3306629280993389</v>
      </c>
      <c r="L15" s="21">
        <f t="shared" si="4"/>
        <v>1</v>
      </c>
    </row>
    <row r="16" spans="1:12" ht="15" customHeight="1" x14ac:dyDescent="0.35">
      <c r="A16" s="11">
        <v>14</v>
      </c>
      <c r="B16" s="8" t="str">
        <f>'Data Mentah'!D16</f>
        <v>Project Manager</v>
      </c>
      <c r="C16" s="22">
        <f>'Data Mentah'!A16</f>
        <v>40</v>
      </c>
      <c r="D16" s="11" t="str">
        <f>'Data Mentah'!B16</f>
        <v>Female</v>
      </c>
      <c r="E16" s="11" t="str">
        <f>'Data Mentah'!C16</f>
        <v>Master's</v>
      </c>
      <c r="F16" s="23">
        <f>'Data Mentah'!E16</f>
        <v>14</v>
      </c>
      <c r="G16" s="24">
        <f>'Data Mentah'!F16</f>
        <v>130000</v>
      </c>
      <c r="H16" s="25">
        <f t="shared" si="0"/>
        <v>6.1</v>
      </c>
      <c r="I16" s="25">
        <f t="shared" si="1"/>
        <v>5.5</v>
      </c>
      <c r="J16" s="25">
        <f t="shared" si="2"/>
        <v>6.04</v>
      </c>
      <c r="K16" s="25">
        <f t="shared" si="3"/>
        <v>5.673943520929301</v>
      </c>
      <c r="L16" s="25">
        <f t="shared" si="4"/>
        <v>10</v>
      </c>
    </row>
    <row r="17" spans="1:12" ht="15" customHeight="1" x14ac:dyDescent="0.35">
      <c r="A17" s="14">
        <v>15</v>
      </c>
      <c r="B17" s="17" t="str">
        <f>'Data Mentah'!D17</f>
        <v>Customer Service Rep</v>
      </c>
      <c r="C17" s="18">
        <f>'Data Mentah'!A17</f>
        <v>27</v>
      </c>
      <c r="D17" s="14" t="str">
        <f>'Data Mentah'!B17</f>
        <v>Male</v>
      </c>
      <c r="E17" s="14" t="str">
        <f>'Data Mentah'!C17</f>
        <v>Bachelor's</v>
      </c>
      <c r="F17" s="19">
        <f>'Data Mentah'!E17</f>
        <v>2</v>
      </c>
      <c r="G17" s="20">
        <f>'Data Mentah'!F17</f>
        <v>40000</v>
      </c>
      <c r="H17" s="21">
        <f t="shared" si="0"/>
        <v>2.2000000000000002</v>
      </c>
      <c r="I17" s="21">
        <f t="shared" si="1"/>
        <v>1</v>
      </c>
      <c r="J17" s="21">
        <f t="shared" si="2"/>
        <v>1.72</v>
      </c>
      <c r="K17" s="21">
        <f t="shared" si="3"/>
        <v>2.4294011616262767</v>
      </c>
      <c r="L17" s="21">
        <f t="shared" si="4"/>
        <v>1</v>
      </c>
    </row>
    <row r="18" spans="1:12" ht="15" customHeight="1" x14ac:dyDescent="0.35">
      <c r="A18" s="11">
        <v>16</v>
      </c>
      <c r="B18" s="8" t="str">
        <f>'Data Mentah'!D18</f>
        <v>Operations Manager</v>
      </c>
      <c r="C18" s="22">
        <f>'Data Mentah'!A18</f>
        <v>44</v>
      </c>
      <c r="D18" s="11" t="str">
        <f>'Data Mentah'!B18</f>
        <v>Male</v>
      </c>
      <c r="E18" s="11" t="str">
        <f>'Data Mentah'!C18</f>
        <v>Bachelor's</v>
      </c>
      <c r="F18" s="23">
        <f>'Data Mentah'!E18</f>
        <v>16</v>
      </c>
      <c r="G18" s="24">
        <f>'Data Mentah'!F18</f>
        <v>125000</v>
      </c>
      <c r="H18" s="25">
        <f t="shared" si="0"/>
        <v>7.3</v>
      </c>
      <c r="I18" s="25">
        <f t="shared" si="1"/>
        <v>1</v>
      </c>
      <c r="J18" s="25">
        <f t="shared" si="2"/>
        <v>6.76</v>
      </c>
      <c r="K18" s="25">
        <f t="shared" si="3"/>
        <v>5.4936911676346885</v>
      </c>
      <c r="L18" s="25">
        <f t="shared" si="4"/>
        <v>1</v>
      </c>
    </row>
    <row r="19" spans="1:12" ht="15" customHeight="1" x14ac:dyDescent="0.35">
      <c r="A19" s="14">
        <v>17</v>
      </c>
      <c r="B19" s="17" t="str">
        <f>'Data Mentah'!D19</f>
        <v>Marketing Manager</v>
      </c>
      <c r="C19" s="18">
        <f>'Data Mentah'!A19</f>
        <v>33</v>
      </c>
      <c r="D19" s="14" t="str">
        <f>'Data Mentah'!B19</f>
        <v>Female</v>
      </c>
      <c r="E19" s="14" t="str">
        <f>'Data Mentah'!C19</f>
        <v>Master's</v>
      </c>
      <c r="F19" s="19">
        <f>'Data Mentah'!E19</f>
        <v>7</v>
      </c>
      <c r="G19" s="20">
        <f>'Data Mentah'!F19</f>
        <v>90000</v>
      </c>
      <c r="H19" s="21">
        <f t="shared" si="0"/>
        <v>4</v>
      </c>
      <c r="I19" s="21">
        <f t="shared" si="1"/>
        <v>5.5</v>
      </c>
      <c r="J19" s="21">
        <f t="shared" si="2"/>
        <v>3.52</v>
      </c>
      <c r="K19" s="21">
        <f t="shared" si="3"/>
        <v>4.2319246945724007</v>
      </c>
      <c r="L19" s="21">
        <f t="shared" si="4"/>
        <v>10</v>
      </c>
    </row>
    <row r="20" spans="1:12" ht="15" customHeight="1" x14ac:dyDescent="0.35">
      <c r="A20" s="11">
        <v>18</v>
      </c>
      <c r="B20" s="8" t="str">
        <f>'Data Mentah'!D20</f>
        <v>Senior Engineer</v>
      </c>
      <c r="C20" s="22">
        <f>'Data Mentah'!A20</f>
        <v>39</v>
      </c>
      <c r="D20" s="11" t="str">
        <f>'Data Mentah'!B20</f>
        <v>Male</v>
      </c>
      <c r="E20" s="11" t="str">
        <f>'Data Mentah'!C20</f>
        <v>PhD</v>
      </c>
      <c r="F20" s="23">
        <f>'Data Mentah'!E20</f>
        <v>12</v>
      </c>
      <c r="G20" s="24">
        <f>'Data Mentah'!F20</f>
        <v>115000</v>
      </c>
      <c r="H20" s="25">
        <f t="shared" si="0"/>
        <v>5.8</v>
      </c>
      <c r="I20" s="25">
        <f t="shared" si="1"/>
        <v>10</v>
      </c>
      <c r="J20" s="25">
        <f t="shared" si="2"/>
        <v>5.32</v>
      </c>
      <c r="K20" s="25">
        <f t="shared" si="3"/>
        <v>5.1331864610454634</v>
      </c>
      <c r="L20" s="25">
        <f t="shared" si="4"/>
        <v>1</v>
      </c>
    </row>
    <row r="21" spans="1:12" ht="15" customHeight="1" x14ac:dyDescent="0.35">
      <c r="A21" s="14">
        <v>19</v>
      </c>
      <c r="B21" s="17" t="str">
        <f>'Data Mentah'!D21</f>
        <v>Data Entry Clerk</v>
      </c>
      <c r="C21" s="18">
        <f>'Data Mentah'!A21</f>
        <v>25</v>
      </c>
      <c r="D21" s="14" t="str">
        <f>'Data Mentah'!B21</f>
        <v>Female</v>
      </c>
      <c r="E21" s="14" t="str">
        <f>'Data Mentah'!C21</f>
        <v>Bachelor's</v>
      </c>
      <c r="F21" s="19">
        <f>'Data Mentah'!E21</f>
        <v>0</v>
      </c>
      <c r="G21" s="20">
        <f>'Data Mentah'!F21</f>
        <v>35000</v>
      </c>
      <c r="H21" s="21">
        <f t="shared" si="0"/>
        <v>1.6</v>
      </c>
      <c r="I21" s="21">
        <f t="shared" si="1"/>
        <v>1</v>
      </c>
      <c r="J21" s="21">
        <f t="shared" si="2"/>
        <v>1</v>
      </c>
      <c r="K21" s="21">
        <f t="shared" si="3"/>
        <v>2.2491488083316646</v>
      </c>
      <c r="L21" s="21">
        <f t="shared" si="4"/>
        <v>10</v>
      </c>
    </row>
    <row r="22" spans="1:12" ht="15" customHeight="1" x14ac:dyDescent="0.35">
      <c r="A22" s="11">
        <v>20</v>
      </c>
      <c r="B22" s="8" t="str">
        <f>'Data Mentah'!D22</f>
        <v>Sales Director</v>
      </c>
      <c r="C22" s="22">
        <f>'Data Mentah'!A22</f>
        <v>51</v>
      </c>
      <c r="D22" s="11" t="str">
        <f>'Data Mentah'!B22</f>
        <v>Male</v>
      </c>
      <c r="E22" s="11" t="str">
        <f>'Data Mentah'!C22</f>
        <v>Bachelor's</v>
      </c>
      <c r="F22" s="23">
        <f>'Data Mentah'!E22</f>
        <v>22</v>
      </c>
      <c r="G22" s="24">
        <f>'Data Mentah'!F22</f>
        <v>180000</v>
      </c>
      <c r="H22" s="25">
        <f t="shared" si="0"/>
        <v>9.4</v>
      </c>
      <c r="I22" s="25">
        <f t="shared" si="1"/>
        <v>1</v>
      </c>
      <c r="J22" s="25">
        <f t="shared" si="2"/>
        <v>8.92</v>
      </c>
      <c r="K22" s="25">
        <f t="shared" si="3"/>
        <v>7.4764670538754254</v>
      </c>
      <c r="L22" s="25">
        <f t="shared" si="4"/>
        <v>1</v>
      </c>
    </row>
    <row r="23" spans="1:12" ht="15" customHeight="1" x14ac:dyDescent="0.35">
      <c r="A23" s="14">
        <v>21</v>
      </c>
      <c r="B23" s="17" t="str">
        <f>'Data Mentah'!D23</f>
        <v>Business Analyst</v>
      </c>
      <c r="C23" s="18">
        <f>'Data Mentah'!A23</f>
        <v>34</v>
      </c>
      <c r="D23" s="14" t="str">
        <f>'Data Mentah'!B23</f>
        <v>Female</v>
      </c>
      <c r="E23" s="14" t="str">
        <f>'Data Mentah'!C23</f>
        <v>Master's</v>
      </c>
      <c r="F23" s="19">
        <f>'Data Mentah'!E23</f>
        <v>5</v>
      </c>
      <c r="G23" s="20">
        <f>'Data Mentah'!F23</f>
        <v>80000</v>
      </c>
      <c r="H23" s="21">
        <f t="shared" si="0"/>
        <v>4.3</v>
      </c>
      <c r="I23" s="21">
        <f t="shared" si="1"/>
        <v>5.5</v>
      </c>
      <c r="J23" s="21">
        <f t="shared" si="2"/>
        <v>2.8</v>
      </c>
      <c r="K23" s="21">
        <f t="shared" si="3"/>
        <v>3.8714199879831765</v>
      </c>
      <c r="L23" s="21">
        <f t="shared" si="4"/>
        <v>10</v>
      </c>
    </row>
    <row r="24" spans="1:12" ht="15" customHeight="1" x14ac:dyDescent="0.35">
      <c r="A24" s="11">
        <v>22</v>
      </c>
      <c r="B24" s="8" t="str">
        <f>'Data Mentah'!D24</f>
        <v>VP of Operations</v>
      </c>
      <c r="C24" s="22">
        <f>'Data Mentah'!A24</f>
        <v>47</v>
      </c>
      <c r="D24" s="11" t="str">
        <f>'Data Mentah'!B24</f>
        <v>Male</v>
      </c>
      <c r="E24" s="11" t="str">
        <f>'Data Mentah'!C24</f>
        <v>Master's</v>
      </c>
      <c r="F24" s="23">
        <f>'Data Mentah'!E24</f>
        <v>19</v>
      </c>
      <c r="G24" s="24">
        <f>'Data Mentah'!F24</f>
        <v>190000</v>
      </c>
      <c r="H24" s="25">
        <f t="shared" si="0"/>
        <v>8.1999999999999993</v>
      </c>
      <c r="I24" s="25">
        <f t="shared" si="1"/>
        <v>5.5</v>
      </c>
      <c r="J24" s="25">
        <f t="shared" si="2"/>
        <v>7.84</v>
      </c>
      <c r="K24" s="25">
        <f t="shared" si="3"/>
        <v>7.8369717604646505</v>
      </c>
      <c r="L24" s="25">
        <f t="shared" si="4"/>
        <v>1</v>
      </c>
    </row>
    <row r="25" spans="1:12" ht="15" customHeight="1" x14ac:dyDescent="0.35">
      <c r="A25" s="14">
        <v>23</v>
      </c>
      <c r="B25" s="17" t="str">
        <f>'Data Mentah'!D25</f>
        <v>IT Support</v>
      </c>
      <c r="C25" s="18">
        <f>'Data Mentah'!A25</f>
        <v>30</v>
      </c>
      <c r="D25" s="14" t="str">
        <f>'Data Mentah'!B25</f>
        <v>Male</v>
      </c>
      <c r="E25" s="14" t="str">
        <f>'Data Mentah'!C25</f>
        <v>Bachelor's</v>
      </c>
      <c r="F25" s="19">
        <f>'Data Mentah'!E25</f>
        <v>2</v>
      </c>
      <c r="G25" s="20">
        <f>'Data Mentah'!F25</f>
        <v>50000</v>
      </c>
      <c r="H25" s="21">
        <f t="shared" si="0"/>
        <v>3.1</v>
      </c>
      <c r="I25" s="21">
        <f t="shared" si="1"/>
        <v>1</v>
      </c>
      <c r="J25" s="21">
        <f t="shared" si="2"/>
        <v>1.72</v>
      </c>
      <c r="K25" s="21">
        <f t="shared" si="3"/>
        <v>2.7899058682155018</v>
      </c>
      <c r="L25" s="21">
        <f t="shared" si="4"/>
        <v>1</v>
      </c>
    </row>
    <row r="26" spans="1:12" ht="15" customHeight="1" x14ac:dyDescent="0.35">
      <c r="A26" s="11">
        <v>24</v>
      </c>
      <c r="B26" s="8" t="str">
        <f>'Data Mentah'!D26</f>
        <v>Recruiter</v>
      </c>
      <c r="C26" s="22">
        <f>'Data Mentah'!A26</f>
        <v>36</v>
      </c>
      <c r="D26" s="11" t="str">
        <f>'Data Mentah'!B26</f>
        <v>Female</v>
      </c>
      <c r="E26" s="11" t="str">
        <f>'Data Mentah'!C26</f>
        <v>Bachelor's</v>
      </c>
      <c r="F26" s="23">
        <f>'Data Mentah'!E26</f>
        <v>9</v>
      </c>
      <c r="G26" s="24">
        <f>'Data Mentah'!F26</f>
        <v>60000</v>
      </c>
      <c r="H26" s="25">
        <f t="shared" si="0"/>
        <v>4.9000000000000004</v>
      </c>
      <c r="I26" s="25">
        <f t="shared" si="1"/>
        <v>1</v>
      </c>
      <c r="J26" s="25">
        <f t="shared" si="2"/>
        <v>4.24</v>
      </c>
      <c r="K26" s="25">
        <f t="shared" si="3"/>
        <v>3.1504105748047264</v>
      </c>
      <c r="L26" s="25">
        <f t="shared" si="4"/>
        <v>10</v>
      </c>
    </row>
    <row r="27" spans="1:12" ht="15" customHeight="1" x14ac:dyDescent="0.35">
      <c r="A27" s="14">
        <v>25</v>
      </c>
      <c r="B27" s="17" t="str">
        <f>'Data Mentah'!D27</f>
        <v>Financial Manager</v>
      </c>
      <c r="C27" s="18">
        <f>'Data Mentah'!A27</f>
        <v>41</v>
      </c>
      <c r="D27" s="14" t="str">
        <f>'Data Mentah'!B27</f>
        <v>Male</v>
      </c>
      <c r="E27" s="14" t="str">
        <f>'Data Mentah'!C27</f>
        <v>Master's</v>
      </c>
      <c r="F27" s="19">
        <f>'Data Mentah'!E27</f>
        <v>13</v>
      </c>
      <c r="G27" s="20">
        <f>'Data Mentah'!F27</f>
        <v>140000</v>
      </c>
      <c r="H27" s="21">
        <f t="shared" si="0"/>
        <v>6.4</v>
      </c>
      <c r="I27" s="21">
        <f t="shared" si="1"/>
        <v>5.5</v>
      </c>
      <c r="J27" s="21">
        <f t="shared" si="2"/>
        <v>5.68</v>
      </c>
      <c r="K27" s="21">
        <f t="shared" si="3"/>
        <v>6.0344482275185261</v>
      </c>
      <c r="L27" s="21">
        <f t="shared" si="4"/>
        <v>1</v>
      </c>
    </row>
    <row r="28" spans="1:12" ht="15" customHeight="1" x14ac:dyDescent="0.35">
      <c r="A28" s="11">
        <v>26</v>
      </c>
      <c r="B28" s="8" t="str">
        <f>'Data Mentah'!D28</f>
        <v>Social Media Specialist</v>
      </c>
      <c r="C28" s="22">
        <f>'Data Mentah'!A28</f>
        <v>28</v>
      </c>
      <c r="D28" s="11" t="str">
        <f>'Data Mentah'!B28</f>
        <v>Female</v>
      </c>
      <c r="E28" s="11" t="str">
        <f>'Data Mentah'!C28</f>
        <v>Bachelor's</v>
      </c>
      <c r="F28" s="23">
        <f>'Data Mentah'!E28</f>
        <v>3</v>
      </c>
      <c r="G28" s="24">
        <f>'Data Mentah'!F28</f>
        <v>45000</v>
      </c>
      <c r="H28" s="25">
        <f t="shared" si="0"/>
        <v>2.5</v>
      </c>
      <c r="I28" s="25">
        <f t="shared" si="1"/>
        <v>1</v>
      </c>
      <c r="J28" s="25">
        <f t="shared" si="2"/>
        <v>2.08</v>
      </c>
      <c r="K28" s="25">
        <f t="shared" si="3"/>
        <v>2.6096535149208893</v>
      </c>
      <c r="L28" s="25">
        <f t="shared" si="4"/>
        <v>10</v>
      </c>
    </row>
    <row r="29" spans="1:12" ht="15" customHeight="1" x14ac:dyDescent="0.35">
      <c r="A29" s="14">
        <v>27</v>
      </c>
      <c r="B29" s="17" t="str">
        <f>'Data Mentah'!D29</f>
        <v>Software Manager</v>
      </c>
      <c r="C29" s="18">
        <f>'Data Mentah'!A29</f>
        <v>37</v>
      </c>
      <c r="D29" s="14" t="str">
        <f>'Data Mentah'!B29</f>
        <v>Female</v>
      </c>
      <c r="E29" s="14" t="str">
        <f>'Data Mentah'!C29</f>
        <v>Master's</v>
      </c>
      <c r="F29" s="19">
        <f>'Data Mentah'!E29</f>
        <v>11</v>
      </c>
      <c r="G29" s="20">
        <f>'Data Mentah'!F29</f>
        <v>110000</v>
      </c>
      <c r="H29" s="21">
        <f t="shared" si="0"/>
        <v>5.2</v>
      </c>
      <c r="I29" s="21">
        <f t="shared" si="1"/>
        <v>5.5</v>
      </c>
      <c r="J29" s="21">
        <f t="shared" si="2"/>
        <v>4.96</v>
      </c>
      <c r="K29" s="21">
        <f t="shared" si="3"/>
        <v>4.9529341077508509</v>
      </c>
      <c r="L29" s="21">
        <f t="shared" si="4"/>
        <v>10</v>
      </c>
    </row>
    <row r="30" spans="1:12" ht="15" customHeight="1" x14ac:dyDescent="0.35">
      <c r="A30" s="11">
        <v>28</v>
      </c>
      <c r="B30" s="8" t="str">
        <f>'Data Mentah'!D30</f>
        <v>Junior Developer</v>
      </c>
      <c r="C30" s="22">
        <f>'Data Mentah'!A30</f>
        <v>24</v>
      </c>
      <c r="D30" s="11" t="str">
        <f>'Data Mentah'!B30</f>
        <v>Male</v>
      </c>
      <c r="E30" s="11" t="str">
        <f>'Data Mentah'!C30</f>
        <v>Bachelor's</v>
      </c>
      <c r="F30" s="23">
        <f>'Data Mentah'!E30</f>
        <v>1</v>
      </c>
      <c r="G30" s="24">
        <f>'Data Mentah'!F30</f>
        <v>40000</v>
      </c>
      <c r="H30" s="25">
        <f t="shared" si="0"/>
        <v>1.3</v>
      </c>
      <c r="I30" s="25">
        <f t="shared" si="1"/>
        <v>1</v>
      </c>
      <c r="J30" s="25">
        <f t="shared" si="2"/>
        <v>1.3599999999999999</v>
      </c>
      <c r="K30" s="25">
        <f t="shared" si="3"/>
        <v>2.4294011616262767</v>
      </c>
      <c r="L30" s="25">
        <f t="shared" si="4"/>
        <v>1</v>
      </c>
    </row>
    <row r="31" spans="1:12" ht="15" customHeight="1" x14ac:dyDescent="0.35">
      <c r="A31" s="14">
        <v>29</v>
      </c>
      <c r="B31" s="17" t="str">
        <f>'Data Mentah'!D31</f>
        <v>Senior Consultant</v>
      </c>
      <c r="C31" s="18">
        <f>'Data Mentah'!A31</f>
        <v>43</v>
      </c>
      <c r="D31" s="14" t="str">
        <f>'Data Mentah'!B31</f>
        <v>Female</v>
      </c>
      <c r="E31" s="14" t="str">
        <f>'Data Mentah'!C31</f>
        <v>PhD</v>
      </c>
      <c r="F31" s="19">
        <f>'Data Mentah'!E31</f>
        <v>15</v>
      </c>
      <c r="G31" s="20">
        <f>'Data Mentah'!F31</f>
        <v>140000</v>
      </c>
      <c r="H31" s="21">
        <f t="shared" si="0"/>
        <v>7</v>
      </c>
      <c r="I31" s="21">
        <f t="shared" si="1"/>
        <v>10</v>
      </c>
      <c r="J31" s="21">
        <f t="shared" si="2"/>
        <v>6.4</v>
      </c>
      <c r="K31" s="21">
        <f t="shared" si="3"/>
        <v>6.0344482275185261</v>
      </c>
      <c r="L31" s="21">
        <f t="shared" si="4"/>
        <v>10</v>
      </c>
    </row>
    <row r="32" spans="1:12" ht="15" customHeight="1" x14ac:dyDescent="0.35">
      <c r="A32" s="11">
        <v>30</v>
      </c>
      <c r="B32" s="8" t="str">
        <f>'Data Mentah'!D32</f>
        <v>Product Designer</v>
      </c>
      <c r="C32" s="22">
        <f>'Data Mentah'!A32</f>
        <v>33</v>
      </c>
      <c r="D32" s="11" t="str">
        <f>'Data Mentah'!B32</f>
        <v>Male</v>
      </c>
      <c r="E32" s="11" t="str">
        <f>'Data Mentah'!C32</f>
        <v>Master's</v>
      </c>
      <c r="F32" s="23">
        <f>'Data Mentah'!E32</f>
        <v>6</v>
      </c>
      <c r="G32" s="24">
        <f>'Data Mentah'!F32</f>
        <v>90000</v>
      </c>
      <c r="H32" s="25">
        <f t="shared" si="0"/>
        <v>4</v>
      </c>
      <c r="I32" s="25">
        <f t="shared" si="1"/>
        <v>5.5</v>
      </c>
      <c r="J32" s="25">
        <f t="shared" si="2"/>
        <v>3.16</v>
      </c>
      <c r="K32" s="25">
        <f t="shared" si="3"/>
        <v>4.2319246945724007</v>
      </c>
      <c r="L32" s="25">
        <f t="shared" si="4"/>
        <v>1</v>
      </c>
    </row>
    <row r="33" spans="1:12" ht="15" customHeight="1" x14ac:dyDescent="0.35">
      <c r="A33" s="14">
        <v>31</v>
      </c>
      <c r="B33" s="17" t="str">
        <f>'Data Mentah'!D33</f>
        <v>CEO</v>
      </c>
      <c r="C33" s="18">
        <f>'Data Mentah'!A33</f>
        <v>50</v>
      </c>
      <c r="D33" s="14" t="str">
        <f>'Data Mentah'!B33</f>
        <v>Male</v>
      </c>
      <c r="E33" s="14" t="str">
        <f>'Data Mentah'!C33</f>
        <v>Bachelor's</v>
      </c>
      <c r="F33" s="19">
        <f>'Data Mentah'!E33</f>
        <v>25</v>
      </c>
      <c r="G33" s="20">
        <f>'Data Mentah'!F33</f>
        <v>250000</v>
      </c>
      <c r="H33" s="21">
        <f t="shared" si="0"/>
        <v>9.1</v>
      </c>
      <c r="I33" s="21">
        <f t="shared" si="1"/>
        <v>1</v>
      </c>
      <c r="J33" s="21">
        <f t="shared" si="2"/>
        <v>10</v>
      </c>
      <c r="K33" s="21">
        <f t="shared" si="3"/>
        <v>10</v>
      </c>
      <c r="L33" s="21">
        <f t="shared" si="4"/>
        <v>1</v>
      </c>
    </row>
    <row r="34" spans="1:12" ht="15" customHeight="1" x14ac:dyDescent="0.35">
      <c r="A34" s="11">
        <v>32</v>
      </c>
      <c r="B34" s="8" t="str">
        <f>'Data Mentah'!D34</f>
        <v>Accountant</v>
      </c>
      <c r="C34" s="22">
        <f>'Data Mentah'!A34</f>
        <v>31</v>
      </c>
      <c r="D34" s="11" t="str">
        <f>'Data Mentah'!B34</f>
        <v>Female</v>
      </c>
      <c r="E34" s="11" t="str">
        <f>'Data Mentah'!C34</f>
        <v>Bachelor's</v>
      </c>
      <c r="F34" s="23">
        <f>'Data Mentah'!E34</f>
        <v>4</v>
      </c>
      <c r="G34" s="24">
        <f>'Data Mentah'!F34</f>
        <v>55000</v>
      </c>
      <c r="H34" s="25">
        <f t="shared" si="0"/>
        <v>3.4</v>
      </c>
      <c r="I34" s="25">
        <f t="shared" si="1"/>
        <v>1</v>
      </c>
      <c r="J34" s="25">
        <f t="shared" si="2"/>
        <v>2.44</v>
      </c>
      <c r="K34" s="25">
        <f t="shared" si="3"/>
        <v>2.9701582215101139</v>
      </c>
      <c r="L34" s="25">
        <f t="shared" si="4"/>
        <v>10</v>
      </c>
    </row>
    <row r="35" spans="1:12" ht="15" customHeight="1" x14ac:dyDescent="0.35">
      <c r="A35" s="14">
        <v>33</v>
      </c>
      <c r="B35" s="17" t="str">
        <f>'Data Mentah'!D35</f>
        <v>Data Scientist</v>
      </c>
      <c r="C35" s="18">
        <f>'Data Mentah'!A35</f>
        <v>29</v>
      </c>
      <c r="D35" s="14" t="str">
        <f>'Data Mentah'!B35</f>
        <v>Male</v>
      </c>
      <c r="E35" s="14" t="str">
        <f>'Data Mentah'!C35</f>
        <v>Master's</v>
      </c>
      <c r="F35" s="19">
        <f>'Data Mentah'!E35</f>
        <v>3</v>
      </c>
      <c r="G35" s="20">
        <f>'Data Mentah'!F35</f>
        <v>75000</v>
      </c>
      <c r="H35" s="21">
        <f t="shared" si="0"/>
        <v>2.8</v>
      </c>
      <c r="I35" s="21">
        <f t="shared" si="1"/>
        <v>5.5</v>
      </c>
      <c r="J35" s="21">
        <f t="shared" si="2"/>
        <v>2.08</v>
      </c>
      <c r="K35" s="21">
        <f t="shared" si="3"/>
        <v>3.691167634688564</v>
      </c>
      <c r="L35" s="21">
        <f t="shared" si="4"/>
        <v>1</v>
      </c>
    </row>
    <row r="36" spans="1:12" ht="15" customHeight="1" x14ac:dyDescent="0.35">
      <c r="A36" s="11">
        <v>34</v>
      </c>
      <c r="B36" s="8" t="str">
        <f>'Data Mentah'!D36</f>
        <v>Marketing Specialist</v>
      </c>
      <c r="C36" s="22">
        <f>'Data Mentah'!A36</f>
        <v>39</v>
      </c>
      <c r="D36" s="11" t="str">
        <f>'Data Mentah'!B36</f>
        <v>Female</v>
      </c>
      <c r="E36" s="11" t="str">
        <f>'Data Mentah'!C36</f>
        <v>Bachelor's</v>
      </c>
      <c r="F36" s="23">
        <f>'Data Mentah'!E36</f>
        <v>10</v>
      </c>
      <c r="G36" s="24">
        <f>'Data Mentah'!F36</f>
        <v>65000</v>
      </c>
      <c r="H36" s="25">
        <f t="shared" si="0"/>
        <v>5.8</v>
      </c>
      <c r="I36" s="25">
        <f t="shared" si="1"/>
        <v>1</v>
      </c>
      <c r="J36" s="25">
        <f t="shared" si="2"/>
        <v>4.5999999999999996</v>
      </c>
      <c r="K36" s="25">
        <f t="shared" si="3"/>
        <v>3.3306629280993389</v>
      </c>
      <c r="L36" s="25">
        <f t="shared" si="4"/>
        <v>10</v>
      </c>
    </row>
    <row r="37" spans="1:12" ht="15" customHeight="1" x14ac:dyDescent="0.35">
      <c r="A37" s="14">
        <v>35</v>
      </c>
      <c r="B37" s="17" t="str">
        <f>'Data Mentah'!D37</f>
        <v>Senior Manager</v>
      </c>
      <c r="C37" s="18">
        <f>'Data Mentah'!A37</f>
        <v>46</v>
      </c>
      <c r="D37" s="14" t="str">
        <f>'Data Mentah'!B37</f>
        <v>Male</v>
      </c>
      <c r="E37" s="14" t="str">
        <f>'Data Mentah'!C37</f>
        <v>PhD</v>
      </c>
      <c r="F37" s="19">
        <f>'Data Mentah'!E37</f>
        <v>20</v>
      </c>
      <c r="G37" s="20">
        <f>'Data Mentah'!F37</f>
        <v>170000</v>
      </c>
      <c r="H37" s="21">
        <f t="shared" si="0"/>
        <v>7.9</v>
      </c>
      <c r="I37" s="21">
        <f t="shared" si="1"/>
        <v>10</v>
      </c>
      <c r="J37" s="21">
        <f t="shared" si="2"/>
        <v>8.1999999999999993</v>
      </c>
      <c r="K37" s="21">
        <f t="shared" si="3"/>
        <v>7.1159623472862004</v>
      </c>
      <c r="L37" s="21">
        <f t="shared" si="4"/>
        <v>1</v>
      </c>
    </row>
    <row r="38" spans="1:12" ht="15" customHeight="1" x14ac:dyDescent="0.35">
      <c r="A38" s="11">
        <v>36</v>
      </c>
      <c r="B38" s="8" t="str">
        <f>'Data Mentah'!D38</f>
        <v>Technical Writer</v>
      </c>
      <c r="C38" s="22">
        <f>'Data Mentah'!A38</f>
        <v>27</v>
      </c>
      <c r="D38" s="11" t="str">
        <f>'Data Mentah'!B38</f>
        <v>Male</v>
      </c>
      <c r="E38" s="11" t="str">
        <f>'Data Mentah'!C38</f>
        <v>Bachelor's</v>
      </c>
      <c r="F38" s="23">
        <f>'Data Mentah'!E38</f>
        <v>2</v>
      </c>
      <c r="G38" s="24">
        <f>'Data Mentah'!F38</f>
        <v>45000</v>
      </c>
      <c r="H38" s="25">
        <f t="shared" si="0"/>
        <v>2.2000000000000002</v>
      </c>
      <c r="I38" s="25">
        <f t="shared" si="1"/>
        <v>1</v>
      </c>
      <c r="J38" s="25">
        <f t="shared" si="2"/>
        <v>1.72</v>
      </c>
      <c r="K38" s="25">
        <f t="shared" si="3"/>
        <v>2.6096535149208893</v>
      </c>
      <c r="L38" s="25">
        <f t="shared" si="4"/>
        <v>1</v>
      </c>
    </row>
    <row r="39" spans="1:12" ht="15" customHeight="1" x14ac:dyDescent="0.35">
      <c r="A39" s="14">
        <v>37</v>
      </c>
      <c r="B39" s="17" t="str">
        <f>'Data Mentah'!D39</f>
        <v>HR Generalist</v>
      </c>
      <c r="C39" s="18">
        <f>'Data Mentah'!A39</f>
        <v>35</v>
      </c>
      <c r="D39" s="14" t="str">
        <f>'Data Mentah'!B39</f>
        <v>Female</v>
      </c>
      <c r="E39" s="14" t="str">
        <f>'Data Mentah'!C39</f>
        <v>Bachelor's</v>
      </c>
      <c r="F39" s="19">
        <f>'Data Mentah'!E39</f>
        <v>7</v>
      </c>
      <c r="G39" s="20">
        <f>'Data Mentah'!F39</f>
        <v>60000</v>
      </c>
      <c r="H39" s="21">
        <f t="shared" si="0"/>
        <v>4.5999999999999996</v>
      </c>
      <c r="I39" s="21">
        <f t="shared" si="1"/>
        <v>1</v>
      </c>
      <c r="J39" s="21">
        <f t="shared" si="2"/>
        <v>3.52</v>
      </c>
      <c r="K39" s="21">
        <f t="shared" si="3"/>
        <v>3.1504105748047264</v>
      </c>
      <c r="L39" s="21">
        <f t="shared" si="4"/>
        <v>10</v>
      </c>
    </row>
    <row r="40" spans="1:12" ht="15" customHeight="1" x14ac:dyDescent="0.35">
      <c r="A40" s="11">
        <v>38</v>
      </c>
      <c r="B40" s="8" t="str">
        <f>'Data Mentah'!D40</f>
        <v>Project Engineer</v>
      </c>
      <c r="C40" s="22">
        <f>'Data Mentah'!A40</f>
        <v>42</v>
      </c>
      <c r="D40" s="11" t="str">
        <f>'Data Mentah'!B40</f>
        <v>Male</v>
      </c>
      <c r="E40" s="11" t="str">
        <f>'Data Mentah'!C40</f>
        <v>Master's</v>
      </c>
      <c r="F40" s="23">
        <f>'Data Mentah'!E40</f>
        <v>14</v>
      </c>
      <c r="G40" s="24">
        <f>'Data Mentah'!F40</f>
        <v>115000</v>
      </c>
      <c r="H40" s="25">
        <f t="shared" si="0"/>
        <v>6.7</v>
      </c>
      <c r="I40" s="25">
        <f t="shared" si="1"/>
        <v>5.5</v>
      </c>
      <c r="J40" s="25">
        <f t="shared" si="2"/>
        <v>6.04</v>
      </c>
      <c r="K40" s="25">
        <f t="shared" si="3"/>
        <v>5.1331864610454634</v>
      </c>
      <c r="L40" s="25">
        <f t="shared" si="4"/>
        <v>1</v>
      </c>
    </row>
    <row r="41" spans="1:12" ht="15" customHeight="1" x14ac:dyDescent="0.35">
      <c r="A41" s="14">
        <v>39</v>
      </c>
      <c r="B41" s="17" t="str">
        <f>'Data Mentah'!D41</f>
        <v>Customer Success Rep</v>
      </c>
      <c r="C41" s="18">
        <f>'Data Mentah'!A41</f>
        <v>26</v>
      </c>
      <c r="D41" s="14" t="str">
        <f>'Data Mentah'!B41</f>
        <v>Female</v>
      </c>
      <c r="E41" s="14" t="str">
        <f>'Data Mentah'!C41</f>
        <v>Bachelor's</v>
      </c>
      <c r="F41" s="19">
        <f>'Data Mentah'!E41</f>
        <v>1</v>
      </c>
      <c r="G41" s="20">
        <f>'Data Mentah'!F41</f>
        <v>40000</v>
      </c>
      <c r="H41" s="21">
        <f t="shared" si="0"/>
        <v>1.9</v>
      </c>
      <c r="I41" s="21">
        <f t="shared" si="1"/>
        <v>1</v>
      </c>
      <c r="J41" s="21">
        <f t="shared" si="2"/>
        <v>1.3599999999999999</v>
      </c>
      <c r="K41" s="21">
        <f t="shared" si="3"/>
        <v>2.4294011616262767</v>
      </c>
      <c r="L41" s="21">
        <f t="shared" si="4"/>
        <v>10</v>
      </c>
    </row>
    <row r="42" spans="1:12" ht="15" customHeight="1" x14ac:dyDescent="0.35">
      <c r="A42" s="11">
        <v>40</v>
      </c>
      <c r="B42" s="8" t="str">
        <f>'Data Mentah'!D42</f>
        <v>Sales Executive</v>
      </c>
      <c r="C42" s="22">
        <f>'Data Mentah'!A42</f>
        <v>49</v>
      </c>
      <c r="D42" s="11" t="str">
        <f>'Data Mentah'!B42</f>
        <v>Male</v>
      </c>
      <c r="E42" s="11" t="str">
        <f>'Data Mentah'!C42</f>
        <v>Bachelor's</v>
      </c>
      <c r="F42" s="23">
        <f>'Data Mentah'!E42</f>
        <v>21</v>
      </c>
      <c r="G42" s="24">
        <f>'Data Mentah'!F42</f>
        <v>160000</v>
      </c>
      <c r="H42" s="25">
        <f t="shared" si="0"/>
        <v>8.8000000000000007</v>
      </c>
      <c r="I42" s="25">
        <f t="shared" si="1"/>
        <v>1</v>
      </c>
      <c r="J42" s="25">
        <f t="shared" si="2"/>
        <v>8.5599999999999987</v>
      </c>
      <c r="K42" s="25">
        <f t="shared" si="3"/>
        <v>6.7554576406969762</v>
      </c>
      <c r="L42" s="25">
        <f t="shared" si="4"/>
        <v>1</v>
      </c>
    </row>
    <row r="43" spans="1:12" ht="15" customHeight="1" x14ac:dyDescent="0.35">
      <c r="A43" s="14">
        <v>41</v>
      </c>
      <c r="B43" s="17" t="str">
        <f>'Data Mentah'!D43</f>
        <v>UX Designer</v>
      </c>
      <c r="C43" s="18">
        <f>'Data Mentah'!A43</f>
        <v>34</v>
      </c>
      <c r="D43" s="14" t="str">
        <f>'Data Mentah'!B43</f>
        <v>Female</v>
      </c>
      <c r="E43" s="14" t="str">
        <f>'Data Mentah'!C43</f>
        <v>Master's</v>
      </c>
      <c r="F43" s="19">
        <f>'Data Mentah'!E43</f>
        <v>5</v>
      </c>
      <c r="G43" s="20">
        <f>'Data Mentah'!F43</f>
        <v>80000</v>
      </c>
      <c r="H43" s="21">
        <f t="shared" si="0"/>
        <v>4.3</v>
      </c>
      <c r="I43" s="21">
        <f t="shared" si="1"/>
        <v>5.5</v>
      </c>
      <c r="J43" s="21">
        <f t="shared" si="2"/>
        <v>2.8</v>
      </c>
      <c r="K43" s="21">
        <f t="shared" si="3"/>
        <v>3.8714199879831765</v>
      </c>
      <c r="L43" s="21">
        <f t="shared" si="4"/>
        <v>10</v>
      </c>
    </row>
    <row r="44" spans="1:12" ht="15" customHeight="1" x14ac:dyDescent="0.35">
      <c r="A44" s="11">
        <v>42</v>
      </c>
      <c r="B44" s="8" t="str">
        <f>'Data Mentah'!D44</f>
        <v>Operations Director</v>
      </c>
      <c r="C44" s="22">
        <f>'Data Mentah'!A44</f>
        <v>48</v>
      </c>
      <c r="D44" s="11" t="str">
        <f>'Data Mentah'!B44</f>
        <v>Male</v>
      </c>
      <c r="E44" s="11" t="str">
        <f>'Data Mentah'!C44</f>
        <v>Master's</v>
      </c>
      <c r="F44" s="23">
        <f>'Data Mentah'!E44</f>
        <v>18</v>
      </c>
      <c r="G44" s="24">
        <f>'Data Mentah'!F44</f>
        <v>190000</v>
      </c>
      <c r="H44" s="25">
        <f t="shared" si="0"/>
        <v>8.5</v>
      </c>
      <c r="I44" s="25">
        <f t="shared" si="1"/>
        <v>5.5</v>
      </c>
      <c r="J44" s="25">
        <f t="shared" si="2"/>
        <v>7.48</v>
      </c>
      <c r="K44" s="25">
        <f t="shared" si="3"/>
        <v>7.8369717604646505</v>
      </c>
      <c r="L44" s="25">
        <f t="shared" si="4"/>
        <v>1</v>
      </c>
    </row>
    <row r="45" spans="1:12" ht="15" customHeight="1" x14ac:dyDescent="0.35">
      <c r="A45" s="14">
        <v>43</v>
      </c>
      <c r="B45" s="17" t="str">
        <f>'Data Mentah'!D45</f>
        <v>Network Engineer</v>
      </c>
      <c r="C45" s="18">
        <f>'Data Mentah'!A45</f>
        <v>30</v>
      </c>
      <c r="D45" s="14" t="str">
        <f>'Data Mentah'!B45</f>
        <v>Male</v>
      </c>
      <c r="E45" s="14" t="str">
        <f>'Data Mentah'!C45</f>
        <v>Bachelor's</v>
      </c>
      <c r="F45" s="19">
        <f>'Data Mentah'!E45</f>
        <v>3</v>
      </c>
      <c r="G45" s="20">
        <f>'Data Mentah'!F45</f>
        <v>60000</v>
      </c>
      <c r="H45" s="21">
        <f t="shared" si="0"/>
        <v>3.1</v>
      </c>
      <c r="I45" s="21">
        <f t="shared" si="1"/>
        <v>1</v>
      </c>
      <c r="J45" s="21">
        <f t="shared" si="2"/>
        <v>2.08</v>
      </c>
      <c r="K45" s="21">
        <f t="shared" si="3"/>
        <v>3.1504105748047264</v>
      </c>
      <c r="L45" s="21">
        <f t="shared" si="4"/>
        <v>1</v>
      </c>
    </row>
    <row r="46" spans="1:12" ht="15" customHeight="1" x14ac:dyDescent="0.35">
      <c r="A46" s="11">
        <v>44</v>
      </c>
      <c r="B46" s="8" t="str">
        <f>'Data Mentah'!D46</f>
        <v>Administrative Assistant</v>
      </c>
      <c r="C46" s="22">
        <f>'Data Mentah'!A46</f>
        <v>36</v>
      </c>
      <c r="D46" s="11" t="str">
        <f>'Data Mentah'!B46</f>
        <v>Female</v>
      </c>
      <c r="E46" s="11" t="str">
        <f>'Data Mentah'!C46</f>
        <v>Bachelor's</v>
      </c>
      <c r="F46" s="23">
        <f>'Data Mentah'!E46</f>
        <v>8</v>
      </c>
      <c r="G46" s="24">
        <f>'Data Mentah'!F46</f>
        <v>45000</v>
      </c>
      <c r="H46" s="25">
        <f t="shared" si="0"/>
        <v>4.9000000000000004</v>
      </c>
      <c r="I46" s="25">
        <f t="shared" si="1"/>
        <v>1</v>
      </c>
      <c r="J46" s="25">
        <f t="shared" si="2"/>
        <v>3.88</v>
      </c>
      <c r="K46" s="25">
        <f t="shared" si="3"/>
        <v>2.6096535149208893</v>
      </c>
      <c r="L46" s="25">
        <f t="shared" si="4"/>
        <v>10</v>
      </c>
    </row>
    <row r="47" spans="1:12" ht="15" customHeight="1" x14ac:dyDescent="0.35">
      <c r="A47" s="14">
        <v>45</v>
      </c>
      <c r="B47" s="17" t="str">
        <f>'Data Mentah'!D47</f>
        <v>Strategy Consultant</v>
      </c>
      <c r="C47" s="18">
        <f>'Data Mentah'!A47</f>
        <v>41</v>
      </c>
      <c r="D47" s="14" t="str">
        <f>'Data Mentah'!B47</f>
        <v>Male</v>
      </c>
      <c r="E47" s="14" t="str">
        <f>'Data Mentah'!C47</f>
        <v>Master's</v>
      </c>
      <c r="F47" s="19">
        <f>'Data Mentah'!E47</f>
        <v>13</v>
      </c>
      <c r="G47" s="20">
        <f>'Data Mentah'!F47</f>
        <v>130000</v>
      </c>
      <c r="H47" s="21">
        <f t="shared" si="0"/>
        <v>6.4</v>
      </c>
      <c r="I47" s="21">
        <f t="shared" si="1"/>
        <v>5.5</v>
      </c>
      <c r="J47" s="21">
        <f t="shared" si="2"/>
        <v>5.68</v>
      </c>
      <c r="K47" s="21">
        <f t="shared" si="3"/>
        <v>5.673943520929301</v>
      </c>
      <c r="L47" s="21">
        <f t="shared" si="4"/>
        <v>1</v>
      </c>
    </row>
    <row r="48" spans="1:12" ht="15" customHeight="1" x14ac:dyDescent="0.35">
      <c r="A48" s="11">
        <v>46</v>
      </c>
      <c r="B48" s="8" t="str">
        <f>'Data Mentah'!D48</f>
        <v>Copywriter</v>
      </c>
      <c r="C48" s="22">
        <f>'Data Mentah'!A48</f>
        <v>28</v>
      </c>
      <c r="D48" s="11" t="str">
        <f>'Data Mentah'!B48</f>
        <v>Female</v>
      </c>
      <c r="E48" s="11" t="str">
        <f>'Data Mentah'!C48</f>
        <v>Bachelor's</v>
      </c>
      <c r="F48" s="23">
        <f>'Data Mentah'!E48</f>
        <v>2</v>
      </c>
      <c r="G48" s="24">
        <f>'Data Mentah'!F48</f>
        <v>40000</v>
      </c>
      <c r="H48" s="25">
        <f t="shared" si="0"/>
        <v>2.5</v>
      </c>
      <c r="I48" s="25">
        <f t="shared" si="1"/>
        <v>1</v>
      </c>
      <c r="J48" s="25">
        <f t="shared" si="2"/>
        <v>1.72</v>
      </c>
      <c r="K48" s="25">
        <f t="shared" si="3"/>
        <v>2.4294011616262767</v>
      </c>
      <c r="L48" s="25">
        <f t="shared" si="4"/>
        <v>10</v>
      </c>
    </row>
    <row r="49" spans="1:12" ht="15" customHeight="1" x14ac:dyDescent="0.35">
      <c r="A49" s="14">
        <v>47</v>
      </c>
      <c r="B49" s="17" t="str">
        <f>'Data Mentah'!D49</f>
        <v>Account Manager</v>
      </c>
      <c r="C49" s="18">
        <f>'Data Mentah'!A49</f>
        <v>32</v>
      </c>
      <c r="D49" s="14" t="str">
        <f>'Data Mentah'!B49</f>
        <v>Male</v>
      </c>
      <c r="E49" s="14" t="str">
        <f>'Data Mentah'!C49</f>
        <v>Bachelor's</v>
      </c>
      <c r="F49" s="19">
        <f>'Data Mentah'!E49</f>
        <v>5</v>
      </c>
      <c r="G49" s="20">
        <f>'Data Mentah'!F49</f>
        <v>75000</v>
      </c>
      <c r="H49" s="21">
        <f t="shared" si="0"/>
        <v>3.7</v>
      </c>
      <c r="I49" s="21">
        <f t="shared" si="1"/>
        <v>1</v>
      </c>
      <c r="J49" s="21">
        <f t="shared" si="2"/>
        <v>2.8</v>
      </c>
      <c r="K49" s="21">
        <f t="shared" si="3"/>
        <v>3.691167634688564</v>
      </c>
      <c r="L49" s="21">
        <f t="shared" si="4"/>
        <v>1</v>
      </c>
    </row>
    <row r="50" spans="1:12" ht="15" customHeight="1" x14ac:dyDescent="0.35">
      <c r="A50" s="11">
        <v>48</v>
      </c>
      <c r="B50" s="8" t="str">
        <f>'Data Mentah'!D50</f>
        <v>Director of Marketing</v>
      </c>
      <c r="C50" s="22">
        <f>'Data Mentah'!A50</f>
        <v>45</v>
      </c>
      <c r="D50" s="11" t="str">
        <f>'Data Mentah'!B50</f>
        <v>Female</v>
      </c>
      <c r="E50" s="11" t="str">
        <f>'Data Mentah'!C50</f>
        <v>Master's</v>
      </c>
      <c r="F50" s="23">
        <f>'Data Mentah'!E50</f>
        <v>16</v>
      </c>
      <c r="G50" s="24">
        <f>'Data Mentah'!F50</f>
        <v>180000</v>
      </c>
      <c r="H50" s="25">
        <f t="shared" si="0"/>
        <v>7.6</v>
      </c>
      <c r="I50" s="25">
        <f t="shared" si="1"/>
        <v>5.5</v>
      </c>
      <c r="J50" s="25">
        <f t="shared" si="2"/>
        <v>6.76</v>
      </c>
      <c r="K50" s="25">
        <f t="shared" si="3"/>
        <v>7.4764670538754254</v>
      </c>
      <c r="L50" s="25">
        <f t="shared" si="4"/>
        <v>10</v>
      </c>
    </row>
    <row r="51" spans="1:12" ht="15" customHeight="1" x14ac:dyDescent="0.35">
      <c r="A51" s="14">
        <v>49</v>
      </c>
      <c r="B51" s="17" t="str">
        <f>'Data Mentah'!D51</f>
        <v>Senior Scientist</v>
      </c>
      <c r="C51" s="18">
        <f>'Data Mentah'!A51</f>
        <v>38</v>
      </c>
      <c r="D51" s="14" t="str">
        <f>'Data Mentah'!B51</f>
        <v>Male</v>
      </c>
      <c r="E51" s="14" t="str">
        <f>'Data Mentah'!C51</f>
        <v>PhD</v>
      </c>
      <c r="F51" s="19">
        <f>'Data Mentah'!E51</f>
        <v>11</v>
      </c>
      <c r="G51" s="20">
        <f>'Data Mentah'!F51</f>
        <v>120000</v>
      </c>
      <c r="H51" s="21">
        <f t="shared" si="0"/>
        <v>5.5</v>
      </c>
      <c r="I51" s="21">
        <f t="shared" si="1"/>
        <v>10</v>
      </c>
      <c r="J51" s="21">
        <f t="shared" si="2"/>
        <v>4.96</v>
      </c>
      <c r="K51" s="21">
        <f t="shared" si="3"/>
        <v>5.3134388143400759</v>
      </c>
      <c r="L51" s="21">
        <f t="shared" si="4"/>
        <v>1</v>
      </c>
    </row>
    <row r="52" spans="1:12" ht="15" customHeight="1" x14ac:dyDescent="0.35">
      <c r="A52" s="11">
        <v>50</v>
      </c>
      <c r="B52" s="8" t="str">
        <f>'Data Mentah'!D52</f>
        <v>Help Desk Analyst</v>
      </c>
      <c r="C52" s="22">
        <f>'Data Mentah'!A52</f>
        <v>25</v>
      </c>
      <c r="D52" s="11" t="str">
        <f>'Data Mentah'!B52</f>
        <v>Male</v>
      </c>
      <c r="E52" s="11" t="str">
        <f>'Data Mentah'!C52</f>
        <v>Bachelor's</v>
      </c>
      <c r="F52" s="23">
        <f>'Data Mentah'!E52</f>
        <v>0</v>
      </c>
      <c r="G52" s="24">
        <f>'Data Mentah'!F52</f>
        <v>35000</v>
      </c>
      <c r="H52" s="25">
        <f t="shared" si="0"/>
        <v>1.6</v>
      </c>
      <c r="I52" s="25">
        <f t="shared" si="1"/>
        <v>1</v>
      </c>
      <c r="J52" s="25">
        <f t="shared" si="2"/>
        <v>1</v>
      </c>
      <c r="K52" s="25">
        <f t="shared" si="3"/>
        <v>2.2491488083316646</v>
      </c>
      <c r="L52" s="25">
        <f t="shared" si="4"/>
        <v>1</v>
      </c>
    </row>
    <row r="53" spans="1:12" ht="15" customHeight="1" x14ac:dyDescent="0.35">
      <c r="A53" s="14">
        <v>51</v>
      </c>
      <c r="B53" s="17" t="str">
        <f>'Data Mentah'!D53</f>
        <v>Customer Service Manager</v>
      </c>
      <c r="C53" s="18">
        <f>'Data Mentah'!A53</f>
        <v>51</v>
      </c>
      <c r="D53" s="14" t="str">
        <f>'Data Mentah'!B53</f>
        <v>Female</v>
      </c>
      <c r="E53" s="14" t="str">
        <f>'Data Mentah'!C53</f>
        <v>Bachelor's</v>
      </c>
      <c r="F53" s="19">
        <f>'Data Mentah'!E53</f>
        <v>22</v>
      </c>
      <c r="G53" s="20">
        <f>'Data Mentah'!F53</f>
        <v>130000</v>
      </c>
      <c r="H53" s="21">
        <f t="shared" si="0"/>
        <v>9.4</v>
      </c>
      <c r="I53" s="21">
        <f t="shared" si="1"/>
        <v>1</v>
      </c>
      <c r="J53" s="21">
        <f t="shared" si="2"/>
        <v>8.92</v>
      </c>
      <c r="K53" s="21">
        <f t="shared" si="3"/>
        <v>5.673943520929301</v>
      </c>
      <c r="L53" s="21">
        <f t="shared" si="4"/>
        <v>10</v>
      </c>
    </row>
    <row r="54" spans="1:12" ht="15" customHeight="1" x14ac:dyDescent="0.35">
      <c r="A54" s="11">
        <v>52</v>
      </c>
      <c r="B54" s="8" t="str">
        <f>'Data Mentah'!D54</f>
        <v>Business Intelligence Analyst</v>
      </c>
      <c r="C54" s="22">
        <f>'Data Mentah'!A54</f>
        <v>33</v>
      </c>
      <c r="D54" s="11" t="str">
        <f>'Data Mentah'!B54</f>
        <v>Male</v>
      </c>
      <c r="E54" s="11" t="str">
        <f>'Data Mentah'!C54</f>
        <v>Master's</v>
      </c>
      <c r="F54" s="23">
        <f>'Data Mentah'!E54</f>
        <v>7</v>
      </c>
      <c r="G54" s="24">
        <f>'Data Mentah'!F54</f>
        <v>85000</v>
      </c>
      <c r="H54" s="25">
        <f t="shared" si="0"/>
        <v>4</v>
      </c>
      <c r="I54" s="25">
        <f t="shared" si="1"/>
        <v>5.5</v>
      </c>
      <c r="J54" s="25">
        <f t="shared" si="2"/>
        <v>3.52</v>
      </c>
      <c r="K54" s="25">
        <f t="shared" si="3"/>
        <v>4.0516723412777891</v>
      </c>
      <c r="L54" s="25">
        <f t="shared" si="4"/>
        <v>1</v>
      </c>
    </row>
    <row r="55" spans="1:12" ht="15" customHeight="1" x14ac:dyDescent="0.35">
      <c r="A55" s="14">
        <v>53</v>
      </c>
      <c r="B55" s="17" t="str">
        <f>'Data Mentah'!D55</f>
        <v>Event Coordinator</v>
      </c>
      <c r="C55" s="18">
        <f>'Data Mentah'!A55</f>
        <v>40</v>
      </c>
      <c r="D55" s="14" t="str">
        <f>'Data Mentah'!B55</f>
        <v>Female</v>
      </c>
      <c r="E55" s="14" t="str">
        <f>'Data Mentah'!C55</f>
        <v>Bachelor's</v>
      </c>
      <c r="F55" s="19">
        <f>'Data Mentah'!E55</f>
        <v>12</v>
      </c>
      <c r="G55" s="20">
        <f>'Data Mentah'!F55</f>
        <v>60000</v>
      </c>
      <c r="H55" s="21">
        <f t="shared" si="0"/>
        <v>6.1</v>
      </c>
      <c r="I55" s="21">
        <f t="shared" si="1"/>
        <v>1</v>
      </c>
      <c r="J55" s="21">
        <f t="shared" si="2"/>
        <v>5.32</v>
      </c>
      <c r="K55" s="21">
        <f t="shared" si="3"/>
        <v>3.1504105748047264</v>
      </c>
      <c r="L55" s="21">
        <f t="shared" si="4"/>
        <v>10</v>
      </c>
    </row>
    <row r="56" spans="1:12" ht="15" customHeight="1" x14ac:dyDescent="0.35">
      <c r="A56" s="11">
        <v>54</v>
      </c>
      <c r="B56" s="8" t="str">
        <f>'Data Mentah'!D56</f>
        <v>VP of Finance</v>
      </c>
      <c r="C56" s="22">
        <f>'Data Mentah'!A56</f>
        <v>47</v>
      </c>
      <c r="D56" s="11" t="str">
        <f>'Data Mentah'!B56</f>
        <v>Male</v>
      </c>
      <c r="E56" s="11" t="str">
        <f>'Data Mentah'!C56</f>
        <v>Master's</v>
      </c>
      <c r="F56" s="23">
        <f>'Data Mentah'!E56</f>
        <v>19</v>
      </c>
      <c r="G56" s="24">
        <f>'Data Mentah'!F56</f>
        <v>200000</v>
      </c>
      <c r="H56" s="25">
        <f t="shared" si="0"/>
        <v>8.1999999999999993</v>
      </c>
      <c r="I56" s="25">
        <f t="shared" si="1"/>
        <v>5.5</v>
      </c>
      <c r="J56" s="25">
        <f t="shared" si="2"/>
        <v>7.84</v>
      </c>
      <c r="K56" s="25">
        <f t="shared" si="3"/>
        <v>8.1974764670538747</v>
      </c>
      <c r="L56" s="25">
        <f t="shared" si="4"/>
        <v>1</v>
      </c>
    </row>
    <row r="57" spans="1:12" ht="15" customHeight="1" x14ac:dyDescent="0.35">
      <c r="A57" s="14">
        <v>55</v>
      </c>
      <c r="B57" s="17" t="str">
        <f>'Data Mentah'!D57</f>
        <v>Graphic Designer</v>
      </c>
      <c r="C57" s="18">
        <f>'Data Mentah'!A57</f>
        <v>29</v>
      </c>
      <c r="D57" s="14" t="str">
        <f>'Data Mentah'!B57</f>
        <v>Female</v>
      </c>
      <c r="E57" s="14" t="str">
        <f>'Data Mentah'!C57</f>
        <v>Bachelor's</v>
      </c>
      <c r="F57" s="19">
        <f>'Data Mentah'!E57</f>
        <v>3</v>
      </c>
      <c r="G57" s="20">
        <f>'Data Mentah'!F57</f>
        <v>50000</v>
      </c>
      <c r="H57" s="21">
        <f t="shared" si="0"/>
        <v>2.8</v>
      </c>
      <c r="I57" s="21">
        <f t="shared" si="1"/>
        <v>1</v>
      </c>
      <c r="J57" s="21">
        <f t="shared" si="2"/>
        <v>2.08</v>
      </c>
      <c r="K57" s="21">
        <f t="shared" si="3"/>
        <v>2.7899058682155018</v>
      </c>
      <c r="L57" s="21">
        <f t="shared" si="4"/>
        <v>10</v>
      </c>
    </row>
    <row r="58" spans="1:12" ht="15" customHeight="1" x14ac:dyDescent="0.35">
      <c r="A58" s="11">
        <v>56</v>
      </c>
      <c r="B58" s="8" t="str">
        <f>'Data Mentah'!D58</f>
        <v>Sales Manager</v>
      </c>
      <c r="C58" s="22">
        <f>'Data Mentah'!A58</f>
        <v>36</v>
      </c>
      <c r="D58" s="11" t="str">
        <f>'Data Mentah'!B58</f>
        <v>Male</v>
      </c>
      <c r="E58" s="11" t="str">
        <f>'Data Mentah'!C58</f>
        <v>Bachelor's</v>
      </c>
      <c r="F58" s="23">
        <f>'Data Mentah'!E58</f>
        <v>9</v>
      </c>
      <c r="G58" s="24">
        <f>'Data Mentah'!F58</f>
        <v>95000</v>
      </c>
      <c r="H58" s="25">
        <f t="shared" si="0"/>
        <v>4.9000000000000004</v>
      </c>
      <c r="I58" s="25">
        <f t="shared" si="1"/>
        <v>1</v>
      </c>
      <c r="J58" s="25">
        <f t="shared" si="2"/>
        <v>4.24</v>
      </c>
      <c r="K58" s="25">
        <f t="shared" si="3"/>
        <v>4.4121770478670133</v>
      </c>
      <c r="L58" s="25">
        <f t="shared" si="4"/>
        <v>1</v>
      </c>
    </row>
    <row r="59" spans="1:12" ht="15" customHeight="1" x14ac:dyDescent="0.35">
      <c r="A59" s="14">
        <v>57</v>
      </c>
      <c r="B59" s="17" t="str">
        <f>'Data Mentah'!D59</f>
        <v>UX Researcher</v>
      </c>
      <c r="C59" s="18">
        <f>'Data Mentah'!A59</f>
        <v>27</v>
      </c>
      <c r="D59" s="14" t="str">
        <f>'Data Mentah'!B59</f>
        <v>Female</v>
      </c>
      <c r="E59" s="14" t="str">
        <f>'Data Mentah'!C59</f>
        <v>Master's</v>
      </c>
      <c r="F59" s="19">
        <f>'Data Mentah'!E59</f>
        <v>2</v>
      </c>
      <c r="G59" s="20">
        <f>'Data Mentah'!F59</f>
        <v>65000</v>
      </c>
      <c r="H59" s="21">
        <f t="shared" si="0"/>
        <v>2.2000000000000002</v>
      </c>
      <c r="I59" s="21">
        <f t="shared" si="1"/>
        <v>5.5</v>
      </c>
      <c r="J59" s="21">
        <f t="shared" si="2"/>
        <v>1.72</v>
      </c>
      <c r="K59" s="21">
        <f t="shared" si="3"/>
        <v>3.3306629280993389</v>
      </c>
      <c r="L59" s="21">
        <f t="shared" si="4"/>
        <v>10</v>
      </c>
    </row>
    <row r="60" spans="1:12" ht="15" customHeight="1" x14ac:dyDescent="0.35">
      <c r="A60" s="11">
        <v>58</v>
      </c>
      <c r="B60" s="8" t="str">
        <f>'Data Mentah'!D60</f>
        <v>Senior Engineer</v>
      </c>
      <c r="C60" s="22">
        <f>'Data Mentah'!A60</f>
        <v>43</v>
      </c>
      <c r="D60" s="11" t="str">
        <f>'Data Mentah'!B60</f>
        <v>Male</v>
      </c>
      <c r="E60" s="11" t="str">
        <f>'Data Mentah'!C60</f>
        <v>PhD</v>
      </c>
      <c r="F60" s="23">
        <f>'Data Mentah'!E60</f>
        <v>17</v>
      </c>
      <c r="G60" s="24">
        <f>'Data Mentah'!F60</f>
        <v>140000</v>
      </c>
      <c r="H60" s="25">
        <f t="shared" si="0"/>
        <v>7</v>
      </c>
      <c r="I60" s="25">
        <f t="shared" si="1"/>
        <v>10</v>
      </c>
      <c r="J60" s="25">
        <f t="shared" si="2"/>
        <v>7.12</v>
      </c>
      <c r="K60" s="25">
        <f t="shared" si="3"/>
        <v>6.0344482275185261</v>
      </c>
      <c r="L60" s="25">
        <f t="shared" si="4"/>
        <v>1</v>
      </c>
    </row>
    <row r="61" spans="1:12" ht="15" customHeight="1" x14ac:dyDescent="0.35">
      <c r="A61" s="14">
        <v>59</v>
      </c>
      <c r="B61" s="17" t="str">
        <f>'Data Mentah'!D61</f>
        <v>Social Media Manager</v>
      </c>
      <c r="C61" s="18">
        <f>'Data Mentah'!A61</f>
        <v>30</v>
      </c>
      <c r="D61" s="14" t="str">
        <f>'Data Mentah'!B61</f>
        <v>Female</v>
      </c>
      <c r="E61" s="14" t="str">
        <f>'Data Mentah'!C61</f>
        <v>Bachelor's</v>
      </c>
      <c r="F61" s="19">
        <f>'Data Mentah'!E61</f>
        <v>4</v>
      </c>
      <c r="G61" s="20">
        <f>'Data Mentah'!F61</f>
        <v>55000</v>
      </c>
      <c r="H61" s="21">
        <f t="shared" si="0"/>
        <v>3.1</v>
      </c>
      <c r="I61" s="21">
        <f t="shared" si="1"/>
        <v>1</v>
      </c>
      <c r="J61" s="21">
        <f t="shared" si="2"/>
        <v>2.44</v>
      </c>
      <c r="K61" s="21">
        <f t="shared" si="3"/>
        <v>2.9701582215101139</v>
      </c>
      <c r="L61" s="21">
        <f t="shared" si="4"/>
        <v>10</v>
      </c>
    </row>
    <row r="62" spans="1:12" ht="15" customHeight="1" x14ac:dyDescent="0.35">
      <c r="A62" s="11">
        <v>60</v>
      </c>
      <c r="B62" s="8" t="str">
        <f>'Data Mentah'!D62</f>
        <v>Product Manager</v>
      </c>
      <c r="C62" s="22">
        <f>'Data Mentah'!A62</f>
        <v>35</v>
      </c>
      <c r="D62" s="11" t="str">
        <f>'Data Mentah'!B62</f>
        <v>Male</v>
      </c>
      <c r="E62" s="11" t="str">
        <f>'Data Mentah'!C62</f>
        <v>Master's</v>
      </c>
      <c r="F62" s="23">
        <f>'Data Mentah'!E62</f>
        <v>7</v>
      </c>
      <c r="G62" s="24">
        <f>'Data Mentah'!F62</f>
        <v>105000</v>
      </c>
      <c r="H62" s="25">
        <f t="shared" si="0"/>
        <v>4.5999999999999996</v>
      </c>
      <c r="I62" s="25">
        <f t="shared" si="1"/>
        <v>5.5</v>
      </c>
      <c r="J62" s="25">
        <f t="shared" si="2"/>
        <v>3.52</v>
      </c>
      <c r="K62" s="25">
        <f t="shared" si="3"/>
        <v>4.7726817544562383</v>
      </c>
      <c r="L62" s="25">
        <f t="shared" si="4"/>
        <v>1</v>
      </c>
    </row>
    <row r="63" spans="1:12" ht="15" customHeight="1" x14ac:dyDescent="0.35">
      <c r="A63" s="14">
        <v>61</v>
      </c>
      <c r="B63" s="17" t="str">
        <f>'Data Mentah'!D63</f>
        <v>Director of Operations</v>
      </c>
      <c r="C63" s="18">
        <f>'Data Mentah'!A63</f>
        <v>51</v>
      </c>
      <c r="D63" s="14" t="str">
        <f>'Data Mentah'!B63</f>
        <v>Female</v>
      </c>
      <c r="E63" s="14" t="str">
        <f>'Data Mentah'!C63</f>
        <v>Master's</v>
      </c>
      <c r="F63" s="19">
        <f>'Data Mentah'!E63</f>
        <v>23</v>
      </c>
      <c r="G63" s="20">
        <f>'Data Mentah'!F63</f>
        <v>170000</v>
      </c>
      <c r="H63" s="21">
        <f t="shared" si="0"/>
        <v>9.4</v>
      </c>
      <c r="I63" s="21">
        <f t="shared" si="1"/>
        <v>5.5</v>
      </c>
      <c r="J63" s="21">
        <f t="shared" si="2"/>
        <v>9.2799999999999994</v>
      </c>
      <c r="K63" s="21">
        <f t="shared" si="3"/>
        <v>7.1159623472862004</v>
      </c>
      <c r="L63" s="21">
        <f t="shared" si="4"/>
        <v>10</v>
      </c>
    </row>
    <row r="64" spans="1:12" ht="15" customHeight="1" x14ac:dyDescent="0.35">
      <c r="A64" s="11">
        <v>62</v>
      </c>
      <c r="B64" s="8" t="str">
        <f>'Data Mentah'!D64</f>
        <v>Marketing Analyst</v>
      </c>
      <c r="C64" s="22">
        <f>'Data Mentah'!A64</f>
        <v>29</v>
      </c>
      <c r="D64" s="11" t="str">
        <f>'Data Mentah'!B64</f>
        <v>Male</v>
      </c>
      <c r="E64" s="11" t="str">
        <f>'Data Mentah'!C64</f>
        <v>Bachelor's</v>
      </c>
      <c r="F64" s="23">
        <f>'Data Mentah'!E64</f>
        <v>3</v>
      </c>
      <c r="G64" s="24">
        <f>'Data Mentah'!F64</f>
        <v>50000</v>
      </c>
      <c r="H64" s="25">
        <f t="shared" si="0"/>
        <v>2.8</v>
      </c>
      <c r="I64" s="25">
        <f t="shared" si="1"/>
        <v>1</v>
      </c>
      <c r="J64" s="25">
        <f t="shared" si="2"/>
        <v>2.08</v>
      </c>
      <c r="K64" s="25">
        <f t="shared" si="3"/>
        <v>2.7899058682155018</v>
      </c>
      <c r="L64" s="25">
        <f t="shared" si="4"/>
        <v>1</v>
      </c>
    </row>
    <row r="65" spans="1:12" ht="15" customHeight="1" x14ac:dyDescent="0.35">
      <c r="A65" s="14">
        <v>63</v>
      </c>
      <c r="B65" s="17" t="str">
        <f>'Data Mentah'!D65</f>
        <v>HR Manager</v>
      </c>
      <c r="C65" s="18">
        <f>'Data Mentah'!A65</f>
        <v>40</v>
      </c>
      <c r="D65" s="14" t="str">
        <f>'Data Mentah'!B65</f>
        <v>Female</v>
      </c>
      <c r="E65" s="14" t="str">
        <f>'Data Mentah'!C65</f>
        <v>Bachelor's</v>
      </c>
      <c r="F65" s="19">
        <f>'Data Mentah'!E65</f>
        <v>12</v>
      </c>
      <c r="G65" s="20">
        <f>'Data Mentah'!F65</f>
        <v>80000</v>
      </c>
      <c r="H65" s="21">
        <f t="shared" si="0"/>
        <v>6.1</v>
      </c>
      <c r="I65" s="21">
        <f t="shared" si="1"/>
        <v>1</v>
      </c>
      <c r="J65" s="21">
        <f t="shared" si="2"/>
        <v>5.32</v>
      </c>
      <c r="K65" s="21">
        <f t="shared" si="3"/>
        <v>3.8714199879831765</v>
      </c>
      <c r="L65" s="21">
        <f t="shared" si="4"/>
        <v>10</v>
      </c>
    </row>
    <row r="66" spans="1:12" ht="15" customHeight="1" x14ac:dyDescent="0.35">
      <c r="A66" s="11">
        <v>64</v>
      </c>
      <c r="B66" s="8" t="str">
        <f>'Data Mentah'!D66</f>
        <v>Senior Data Scientist</v>
      </c>
      <c r="C66" s="22">
        <f>'Data Mentah'!A66</f>
        <v>47</v>
      </c>
      <c r="D66" s="11" t="str">
        <f>'Data Mentah'!B66</f>
        <v>Male</v>
      </c>
      <c r="E66" s="11" t="str">
        <f>'Data Mentah'!C66</f>
        <v>PhD</v>
      </c>
      <c r="F66" s="23">
        <f>'Data Mentah'!E66</f>
        <v>21</v>
      </c>
      <c r="G66" s="24">
        <f>'Data Mentah'!F66</f>
        <v>180000</v>
      </c>
      <c r="H66" s="25">
        <f t="shared" si="0"/>
        <v>8.1999999999999993</v>
      </c>
      <c r="I66" s="25">
        <f t="shared" si="1"/>
        <v>10</v>
      </c>
      <c r="J66" s="25">
        <f t="shared" si="2"/>
        <v>8.5599999999999987</v>
      </c>
      <c r="K66" s="25">
        <f t="shared" si="3"/>
        <v>7.4764670538754254</v>
      </c>
      <c r="L66" s="25">
        <f t="shared" si="4"/>
        <v>1</v>
      </c>
    </row>
    <row r="67" spans="1:12" ht="15" customHeight="1" x14ac:dyDescent="0.35">
      <c r="A67" s="14">
        <v>65</v>
      </c>
      <c r="B67" s="17" t="str">
        <f>'Data Mentah'!D67</f>
        <v>Junior Accountant</v>
      </c>
      <c r="C67" s="18">
        <f>'Data Mentah'!A67</f>
        <v>26</v>
      </c>
      <c r="D67" s="14" t="str">
        <f>'Data Mentah'!B67</f>
        <v>Male</v>
      </c>
      <c r="E67" s="14" t="str">
        <f>'Data Mentah'!C67</f>
        <v>Bachelor's</v>
      </c>
      <c r="F67" s="19">
        <f>'Data Mentah'!E67</f>
        <v>1</v>
      </c>
      <c r="G67" s="20">
        <f>'Data Mentah'!F67</f>
        <v>35000</v>
      </c>
      <c r="H67" s="21">
        <f t="shared" ref="H67:H130" si="5">IF(MAX($C$3:$C$375)=MIN($C$3:$C$375),5,1+9*(C67-MIN($C$3:$C$375))/(MAX($C$3:$C$375)-MIN($C$3:$C$375)))</f>
        <v>1.9</v>
      </c>
      <c r="I67" s="21">
        <f t="shared" ref="I67:I130" si="6">1+9*(IF(E67="PhD",3,IF(E67="Master's",2,1))-1)/(3-1)</f>
        <v>1</v>
      </c>
      <c r="J67" s="21">
        <f t="shared" ref="J67:J130" si="7">IF(MAX($F$3:$F$375)=MIN($F$3:$F$375),5,1+9*(F67-MIN($F$3:$F$375))/(MAX($F$3:$F$375)-MIN($F$3:$F$375)))</f>
        <v>1.3599999999999999</v>
      </c>
      <c r="K67" s="21">
        <f t="shared" ref="K67:K130" si="8">IF(MAX($G$3:$G$375)=MIN($G$3:$G$375),5,1+9*(G67-MIN($G$3:$G$375))/(MAX($G$3:$G$375)-MIN($G$3:$G$375)))</f>
        <v>2.2491488083316646</v>
      </c>
      <c r="L67" s="21">
        <f t="shared" ref="L67:L130" si="9">1+9*(IF(D67="Female",2,IF(D67="Male",1,1.5))-1)/(2-1)</f>
        <v>1</v>
      </c>
    </row>
    <row r="68" spans="1:12" ht="15" customHeight="1" x14ac:dyDescent="0.35">
      <c r="A68" s="11">
        <v>66</v>
      </c>
      <c r="B68" s="8" t="str">
        <f>'Data Mentah'!D68</f>
        <v>Digital Marketing Manager</v>
      </c>
      <c r="C68" s="22">
        <f>'Data Mentah'!A68</f>
        <v>38</v>
      </c>
      <c r="D68" s="11" t="str">
        <f>'Data Mentah'!B68</f>
        <v>Female</v>
      </c>
      <c r="E68" s="11" t="str">
        <f>'Data Mentah'!C68</f>
        <v>Master's</v>
      </c>
      <c r="F68" s="23">
        <f>'Data Mentah'!E68</f>
        <v>10</v>
      </c>
      <c r="G68" s="24">
        <f>'Data Mentah'!F68</f>
        <v>90000</v>
      </c>
      <c r="H68" s="25">
        <f t="shared" si="5"/>
        <v>5.5</v>
      </c>
      <c r="I68" s="25">
        <f t="shared" si="6"/>
        <v>5.5</v>
      </c>
      <c r="J68" s="25">
        <f t="shared" si="7"/>
        <v>4.5999999999999996</v>
      </c>
      <c r="K68" s="25">
        <f t="shared" si="8"/>
        <v>4.2319246945724007</v>
      </c>
      <c r="L68" s="25">
        <f t="shared" si="9"/>
        <v>10</v>
      </c>
    </row>
    <row r="69" spans="1:12" ht="15" customHeight="1" x14ac:dyDescent="0.35">
      <c r="A69" s="14">
        <v>67</v>
      </c>
      <c r="B69" s="17" t="str">
        <f>'Data Mentah'!D69</f>
        <v>IT Manager</v>
      </c>
      <c r="C69" s="18">
        <f>'Data Mentah'!A69</f>
        <v>46</v>
      </c>
      <c r="D69" s="14" t="str">
        <f>'Data Mentah'!B69</f>
        <v>Male</v>
      </c>
      <c r="E69" s="14" t="str">
        <f>'Data Mentah'!C69</f>
        <v>Bachelor's</v>
      </c>
      <c r="F69" s="19">
        <f>'Data Mentah'!E69</f>
        <v>19</v>
      </c>
      <c r="G69" s="20">
        <f>'Data Mentah'!F69</f>
        <v>120000</v>
      </c>
      <c r="H69" s="21">
        <f t="shared" si="5"/>
        <v>7.9</v>
      </c>
      <c r="I69" s="21">
        <f t="shared" si="6"/>
        <v>1</v>
      </c>
      <c r="J69" s="21">
        <f t="shared" si="7"/>
        <v>7.84</v>
      </c>
      <c r="K69" s="21">
        <f t="shared" si="8"/>
        <v>5.3134388143400759</v>
      </c>
      <c r="L69" s="21">
        <f t="shared" si="9"/>
        <v>1</v>
      </c>
    </row>
    <row r="70" spans="1:12" ht="15" customHeight="1" x14ac:dyDescent="0.35">
      <c r="A70" s="11">
        <v>68</v>
      </c>
      <c r="B70" s="8" t="str">
        <f>'Data Mentah'!D70</f>
        <v>Customer Service Representative</v>
      </c>
      <c r="C70" s="22">
        <f>'Data Mentah'!A70</f>
        <v>31</v>
      </c>
      <c r="D70" s="11" t="str">
        <f>'Data Mentah'!B70</f>
        <v>Female</v>
      </c>
      <c r="E70" s="11" t="str">
        <f>'Data Mentah'!C70</f>
        <v>Bachelor's</v>
      </c>
      <c r="F70" s="23">
        <f>'Data Mentah'!E70</f>
        <v>5</v>
      </c>
      <c r="G70" s="24">
        <f>'Data Mentah'!F70</f>
        <v>45000</v>
      </c>
      <c r="H70" s="25">
        <f t="shared" si="5"/>
        <v>3.4</v>
      </c>
      <c r="I70" s="25">
        <f t="shared" si="6"/>
        <v>1</v>
      </c>
      <c r="J70" s="25">
        <f t="shared" si="7"/>
        <v>2.8</v>
      </c>
      <c r="K70" s="25">
        <f t="shared" si="8"/>
        <v>2.6096535149208893</v>
      </c>
      <c r="L70" s="25">
        <f t="shared" si="9"/>
        <v>10</v>
      </c>
    </row>
    <row r="71" spans="1:12" ht="15" customHeight="1" x14ac:dyDescent="0.35">
      <c r="A71" s="14">
        <v>69</v>
      </c>
      <c r="B71" s="17" t="str">
        <f>'Data Mentah'!D71</f>
        <v>Business Development Manager</v>
      </c>
      <c r="C71" s="18">
        <f>'Data Mentah'!A71</f>
        <v>34</v>
      </c>
      <c r="D71" s="14" t="str">
        <f>'Data Mentah'!B71</f>
        <v>Male</v>
      </c>
      <c r="E71" s="14" t="str">
        <f>'Data Mentah'!C71</f>
        <v>Master's</v>
      </c>
      <c r="F71" s="19">
        <f>'Data Mentah'!E71</f>
        <v>8</v>
      </c>
      <c r="G71" s="20">
        <f>'Data Mentah'!F71</f>
        <v>90000</v>
      </c>
      <c r="H71" s="21">
        <f t="shared" si="5"/>
        <v>4.3</v>
      </c>
      <c r="I71" s="21">
        <f t="shared" si="6"/>
        <v>5.5</v>
      </c>
      <c r="J71" s="21">
        <f t="shared" si="7"/>
        <v>3.88</v>
      </c>
      <c r="K71" s="21">
        <f t="shared" si="8"/>
        <v>4.2319246945724007</v>
      </c>
      <c r="L71" s="21">
        <f t="shared" si="9"/>
        <v>1</v>
      </c>
    </row>
    <row r="72" spans="1:12" ht="15" customHeight="1" x14ac:dyDescent="0.35">
      <c r="A72" s="11">
        <v>70</v>
      </c>
      <c r="B72" s="8" t="str">
        <f>'Data Mentah'!D72</f>
        <v>Senior Financial Analyst</v>
      </c>
      <c r="C72" s="22">
        <f>'Data Mentah'!A72</f>
        <v>49</v>
      </c>
      <c r="D72" s="11" t="str">
        <f>'Data Mentah'!B72</f>
        <v>Female</v>
      </c>
      <c r="E72" s="11" t="str">
        <f>'Data Mentah'!C72</f>
        <v>Master's</v>
      </c>
      <c r="F72" s="23">
        <f>'Data Mentah'!E72</f>
        <v>18</v>
      </c>
      <c r="G72" s="24">
        <f>'Data Mentah'!F72</f>
        <v>150000</v>
      </c>
      <c r="H72" s="25">
        <f t="shared" si="5"/>
        <v>8.8000000000000007</v>
      </c>
      <c r="I72" s="25">
        <f t="shared" si="6"/>
        <v>5.5</v>
      </c>
      <c r="J72" s="25">
        <f t="shared" si="7"/>
        <v>7.48</v>
      </c>
      <c r="K72" s="25">
        <f t="shared" si="8"/>
        <v>6.3949529341077511</v>
      </c>
      <c r="L72" s="25">
        <f t="shared" si="9"/>
        <v>10</v>
      </c>
    </row>
    <row r="73" spans="1:12" ht="15" customHeight="1" x14ac:dyDescent="0.35">
      <c r="A73" s="14">
        <v>71</v>
      </c>
      <c r="B73" s="17" t="str">
        <f>'Data Mentah'!D73</f>
        <v>Web Developer</v>
      </c>
      <c r="C73" s="18">
        <f>'Data Mentah'!A73</f>
        <v>33</v>
      </c>
      <c r="D73" s="14" t="str">
        <f>'Data Mentah'!B73</f>
        <v>Male</v>
      </c>
      <c r="E73" s="14" t="str">
        <f>'Data Mentah'!C73</f>
        <v>Bachelor's</v>
      </c>
      <c r="F73" s="19">
        <f>'Data Mentah'!E73</f>
        <v>6</v>
      </c>
      <c r="G73" s="20">
        <f>'Data Mentah'!F73</f>
        <v>65000</v>
      </c>
      <c r="H73" s="21">
        <f t="shared" si="5"/>
        <v>4</v>
      </c>
      <c r="I73" s="21">
        <f t="shared" si="6"/>
        <v>1</v>
      </c>
      <c r="J73" s="21">
        <f t="shared" si="7"/>
        <v>3.16</v>
      </c>
      <c r="K73" s="21">
        <f t="shared" si="8"/>
        <v>3.3306629280993389</v>
      </c>
      <c r="L73" s="21">
        <f t="shared" si="9"/>
        <v>1</v>
      </c>
    </row>
    <row r="74" spans="1:12" ht="15" customHeight="1" x14ac:dyDescent="0.35">
      <c r="A74" s="11">
        <v>72</v>
      </c>
      <c r="B74" s="8" t="str">
        <f>'Data Mentah'!D74</f>
        <v>Recruiter</v>
      </c>
      <c r="C74" s="22">
        <f>'Data Mentah'!A74</f>
        <v>39</v>
      </c>
      <c r="D74" s="11" t="str">
        <f>'Data Mentah'!B74</f>
        <v>Female</v>
      </c>
      <c r="E74" s="11" t="str">
        <f>'Data Mentah'!C74</f>
        <v>Bachelor's</v>
      </c>
      <c r="F74" s="23">
        <f>'Data Mentah'!E74</f>
        <v>11</v>
      </c>
      <c r="G74" s="24">
        <f>'Data Mentah'!F74</f>
        <v>70000</v>
      </c>
      <c r="H74" s="25">
        <f t="shared" si="5"/>
        <v>5.8</v>
      </c>
      <c r="I74" s="25">
        <f t="shared" si="6"/>
        <v>1</v>
      </c>
      <c r="J74" s="25">
        <f t="shared" si="7"/>
        <v>4.96</v>
      </c>
      <c r="K74" s="25">
        <f t="shared" si="8"/>
        <v>3.5109152813939515</v>
      </c>
      <c r="L74" s="25">
        <f t="shared" si="9"/>
        <v>10</v>
      </c>
    </row>
    <row r="75" spans="1:12" ht="15" customHeight="1" x14ac:dyDescent="0.35">
      <c r="A75" s="14">
        <v>73</v>
      </c>
      <c r="B75" s="17" t="str">
        <f>'Data Mentah'!D75</f>
        <v>Research Director</v>
      </c>
      <c r="C75" s="18">
        <f>'Data Mentah'!A75</f>
        <v>45</v>
      </c>
      <c r="D75" s="14" t="str">
        <f>'Data Mentah'!B75</f>
        <v>Male</v>
      </c>
      <c r="E75" s="14" t="str">
        <f>'Data Mentah'!C75</f>
        <v>PhD</v>
      </c>
      <c r="F75" s="19">
        <f>'Data Mentah'!E75</f>
        <v>16</v>
      </c>
      <c r="G75" s="20">
        <f>'Data Mentah'!F75</f>
        <v>190000</v>
      </c>
      <c r="H75" s="21">
        <f t="shared" si="5"/>
        <v>7.6</v>
      </c>
      <c r="I75" s="21">
        <f t="shared" si="6"/>
        <v>10</v>
      </c>
      <c r="J75" s="21">
        <f t="shared" si="7"/>
        <v>6.76</v>
      </c>
      <c r="K75" s="21">
        <f t="shared" si="8"/>
        <v>7.8369717604646505</v>
      </c>
      <c r="L75" s="21">
        <f t="shared" si="9"/>
        <v>1</v>
      </c>
    </row>
    <row r="76" spans="1:12" ht="15" customHeight="1" x14ac:dyDescent="0.35">
      <c r="A76" s="11">
        <v>74</v>
      </c>
      <c r="B76" s="8" t="str">
        <f>'Data Mentah'!D76</f>
        <v>Technical Support Specialist</v>
      </c>
      <c r="C76" s="22">
        <f>'Data Mentah'!A76</f>
        <v>28</v>
      </c>
      <c r="D76" s="11" t="str">
        <f>'Data Mentah'!B76</f>
        <v>Male</v>
      </c>
      <c r="E76" s="11" t="str">
        <f>'Data Mentah'!C76</f>
        <v>Bachelor's</v>
      </c>
      <c r="F76" s="23">
        <f>'Data Mentah'!E76</f>
        <v>2</v>
      </c>
      <c r="G76" s="24">
        <f>'Data Mentah'!F76</f>
        <v>40000</v>
      </c>
      <c r="H76" s="25">
        <f t="shared" si="5"/>
        <v>2.5</v>
      </c>
      <c r="I76" s="25">
        <f t="shared" si="6"/>
        <v>1</v>
      </c>
      <c r="J76" s="25">
        <f t="shared" si="7"/>
        <v>1.72</v>
      </c>
      <c r="K76" s="25">
        <f t="shared" si="8"/>
        <v>2.4294011616262767</v>
      </c>
      <c r="L76" s="25">
        <f t="shared" si="9"/>
        <v>1</v>
      </c>
    </row>
    <row r="77" spans="1:12" ht="15" customHeight="1" x14ac:dyDescent="0.35">
      <c r="A77" s="14">
        <v>75</v>
      </c>
      <c r="B77" s="17" t="str">
        <f>'Data Mentah'!D77</f>
        <v>Creative Director</v>
      </c>
      <c r="C77" s="18">
        <f>'Data Mentah'!A77</f>
        <v>42</v>
      </c>
      <c r="D77" s="14" t="str">
        <f>'Data Mentah'!B77</f>
        <v>Female</v>
      </c>
      <c r="E77" s="14" t="str">
        <f>'Data Mentah'!C77</f>
        <v>Master's</v>
      </c>
      <c r="F77" s="19">
        <f>'Data Mentah'!E77</f>
        <v>14</v>
      </c>
      <c r="G77" s="20">
        <f>'Data Mentah'!F77</f>
        <v>120000</v>
      </c>
      <c r="H77" s="21">
        <f t="shared" si="5"/>
        <v>6.7</v>
      </c>
      <c r="I77" s="21">
        <f t="shared" si="6"/>
        <v>5.5</v>
      </c>
      <c r="J77" s="21">
        <f t="shared" si="7"/>
        <v>6.04</v>
      </c>
      <c r="K77" s="21">
        <f t="shared" si="8"/>
        <v>5.3134388143400759</v>
      </c>
      <c r="L77" s="21">
        <f t="shared" si="9"/>
        <v>10</v>
      </c>
    </row>
    <row r="78" spans="1:12" ht="15" customHeight="1" x14ac:dyDescent="0.35">
      <c r="A78" s="11">
        <v>76</v>
      </c>
      <c r="B78" s="8" t="str">
        <f>'Data Mentah'!D78</f>
        <v>Project Manager</v>
      </c>
      <c r="C78" s="22">
        <f>'Data Mentah'!A78</f>
        <v>37</v>
      </c>
      <c r="D78" s="11" t="str">
        <f>'Data Mentah'!B78</f>
        <v>Male</v>
      </c>
      <c r="E78" s="11" t="str">
        <f>'Data Mentah'!C78</f>
        <v>Bachelor's</v>
      </c>
      <c r="F78" s="23">
        <f>'Data Mentah'!E78</f>
        <v>10</v>
      </c>
      <c r="G78" s="24">
        <f>'Data Mentah'!F78</f>
        <v>95000</v>
      </c>
      <c r="H78" s="25">
        <f t="shared" si="5"/>
        <v>5.2</v>
      </c>
      <c r="I78" s="25">
        <f t="shared" si="6"/>
        <v>1</v>
      </c>
      <c r="J78" s="25">
        <f t="shared" si="7"/>
        <v>4.5999999999999996</v>
      </c>
      <c r="K78" s="25">
        <f t="shared" si="8"/>
        <v>4.4121770478670133</v>
      </c>
      <c r="L78" s="25">
        <f t="shared" si="9"/>
        <v>1</v>
      </c>
    </row>
    <row r="79" spans="1:12" ht="15" customHeight="1" x14ac:dyDescent="0.35">
      <c r="A79" s="14">
        <v>77</v>
      </c>
      <c r="B79" s="17" t="str">
        <f>'Data Mentah'!D79</f>
        <v>Operations Manager</v>
      </c>
      <c r="C79" s="18">
        <f>'Data Mentah'!A79</f>
        <v>50</v>
      </c>
      <c r="D79" s="14" t="str">
        <f>'Data Mentah'!B79</f>
        <v>Female</v>
      </c>
      <c r="E79" s="14" t="str">
        <f>'Data Mentah'!C79</f>
        <v>Bachelor's</v>
      </c>
      <c r="F79" s="19">
        <f>'Data Mentah'!E79</f>
        <v>22</v>
      </c>
      <c r="G79" s="20">
        <f>'Data Mentah'!F79</f>
        <v>160000</v>
      </c>
      <c r="H79" s="21">
        <f t="shared" si="5"/>
        <v>9.1</v>
      </c>
      <c r="I79" s="21">
        <f t="shared" si="6"/>
        <v>1</v>
      </c>
      <c r="J79" s="21">
        <f t="shared" si="7"/>
        <v>8.92</v>
      </c>
      <c r="K79" s="21">
        <f t="shared" si="8"/>
        <v>6.7554576406969762</v>
      </c>
      <c r="L79" s="21">
        <f t="shared" si="9"/>
        <v>10</v>
      </c>
    </row>
    <row r="80" spans="1:12" ht="15" customHeight="1" x14ac:dyDescent="0.35">
      <c r="A80" s="11">
        <v>78</v>
      </c>
      <c r="B80" s="8" t="str">
        <f>'Data Mentah'!D80</f>
        <v>Senior Software Engineer</v>
      </c>
      <c r="C80" s="22">
        <f>'Data Mentah'!A80</f>
        <v>32</v>
      </c>
      <c r="D80" s="11" t="str">
        <f>'Data Mentah'!B80</f>
        <v>Male</v>
      </c>
      <c r="E80" s="11" t="str">
        <f>'Data Mentah'!C80</f>
        <v>Master's</v>
      </c>
      <c r="F80" s="23">
        <f>'Data Mentah'!E80</f>
        <v>6</v>
      </c>
      <c r="G80" s="24">
        <f>'Data Mentah'!F80</f>
        <v>100000</v>
      </c>
      <c r="H80" s="25">
        <f t="shared" si="5"/>
        <v>3.7</v>
      </c>
      <c r="I80" s="25">
        <f t="shared" si="6"/>
        <v>5.5</v>
      </c>
      <c r="J80" s="25">
        <f t="shared" si="7"/>
        <v>3.16</v>
      </c>
      <c r="K80" s="25">
        <f t="shared" si="8"/>
        <v>4.5924294011616258</v>
      </c>
      <c r="L80" s="25">
        <f t="shared" si="9"/>
        <v>1</v>
      </c>
    </row>
    <row r="81" spans="1:12" ht="15" customHeight="1" x14ac:dyDescent="0.35">
      <c r="A81" s="14">
        <v>79</v>
      </c>
      <c r="B81" s="17" t="str">
        <f>'Data Mentah'!D81</f>
        <v>Human Resources Director</v>
      </c>
      <c r="C81" s="18">
        <f>'Data Mentah'!A81</f>
        <v>48</v>
      </c>
      <c r="D81" s="14" t="str">
        <f>'Data Mentah'!B81</f>
        <v>Female</v>
      </c>
      <c r="E81" s="14" t="str">
        <f>'Data Mentah'!C81</f>
        <v>Master's</v>
      </c>
      <c r="F81" s="19">
        <f>'Data Mentah'!E81</f>
        <v>20</v>
      </c>
      <c r="G81" s="20">
        <f>'Data Mentah'!F81</f>
        <v>180000</v>
      </c>
      <c r="H81" s="21">
        <f t="shared" si="5"/>
        <v>8.5</v>
      </c>
      <c r="I81" s="21">
        <f t="shared" si="6"/>
        <v>5.5</v>
      </c>
      <c r="J81" s="21">
        <f t="shared" si="7"/>
        <v>8.1999999999999993</v>
      </c>
      <c r="K81" s="21">
        <f t="shared" si="8"/>
        <v>7.4764670538754254</v>
      </c>
      <c r="L81" s="21">
        <f t="shared" si="9"/>
        <v>10</v>
      </c>
    </row>
    <row r="82" spans="1:12" ht="15" customHeight="1" x14ac:dyDescent="0.35">
      <c r="A82" s="11">
        <v>80</v>
      </c>
      <c r="B82" s="8" t="str">
        <f>'Data Mentah'!D82</f>
        <v>Content Marketing Manager</v>
      </c>
      <c r="C82" s="22">
        <f>'Data Mentah'!A82</f>
        <v>30</v>
      </c>
      <c r="D82" s="11" t="str">
        <f>'Data Mentah'!B82</f>
        <v>Female</v>
      </c>
      <c r="E82" s="11" t="str">
        <f>'Data Mentah'!C82</f>
        <v>Bachelor's</v>
      </c>
      <c r="F82" s="23">
        <f>'Data Mentah'!E82</f>
        <v>3</v>
      </c>
      <c r="G82" s="24">
        <f>'Data Mentah'!F82</f>
        <v>55000</v>
      </c>
      <c r="H82" s="25">
        <f t="shared" si="5"/>
        <v>3.1</v>
      </c>
      <c r="I82" s="25">
        <f t="shared" si="6"/>
        <v>1</v>
      </c>
      <c r="J82" s="25">
        <f t="shared" si="7"/>
        <v>2.08</v>
      </c>
      <c r="K82" s="25">
        <f t="shared" si="8"/>
        <v>2.9701582215101139</v>
      </c>
      <c r="L82" s="25">
        <f t="shared" si="9"/>
        <v>10</v>
      </c>
    </row>
    <row r="83" spans="1:12" ht="15" customHeight="1" x14ac:dyDescent="0.35">
      <c r="A83" s="14">
        <v>81</v>
      </c>
      <c r="B83" s="17" t="str">
        <f>'Data Mentah'!D83</f>
        <v>Technical Recruiter</v>
      </c>
      <c r="C83" s="18">
        <f>'Data Mentah'!A83</f>
        <v>36</v>
      </c>
      <c r="D83" s="14" t="str">
        <f>'Data Mentah'!B83</f>
        <v>Male</v>
      </c>
      <c r="E83" s="14" t="str">
        <f>'Data Mentah'!C83</f>
        <v>Bachelor's</v>
      </c>
      <c r="F83" s="19">
        <f>'Data Mentah'!E83</f>
        <v>8</v>
      </c>
      <c r="G83" s="20">
        <f>'Data Mentah'!F83</f>
        <v>70000</v>
      </c>
      <c r="H83" s="21">
        <f t="shared" si="5"/>
        <v>4.9000000000000004</v>
      </c>
      <c r="I83" s="21">
        <f t="shared" si="6"/>
        <v>1</v>
      </c>
      <c r="J83" s="21">
        <f t="shared" si="7"/>
        <v>3.88</v>
      </c>
      <c r="K83" s="21">
        <f t="shared" si="8"/>
        <v>3.5109152813939515</v>
      </c>
      <c r="L83" s="21">
        <f t="shared" si="9"/>
        <v>1</v>
      </c>
    </row>
    <row r="84" spans="1:12" ht="15" customHeight="1" x14ac:dyDescent="0.35">
      <c r="A84" s="11">
        <v>82</v>
      </c>
      <c r="B84" s="8" t="str">
        <f>'Data Mentah'!D84</f>
        <v>Data Analyst</v>
      </c>
      <c r="C84" s="22">
        <f>'Data Mentah'!A84</f>
        <v>41</v>
      </c>
      <c r="D84" s="11" t="str">
        <f>'Data Mentah'!B84</f>
        <v>Female</v>
      </c>
      <c r="E84" s="11" t="str">
        <f>'Data Mentah'!C84</f>
        <v>Master's</v>
      </c>
      <c r="F84" s="23">
        <f>'Data Mentah'!E84</f>
        <v>13</v>
      </c>
      <c r="G84" s="24">
        <f>'Data Mentah'!F84</f>
        <v>80000</v>
      </c>
      <c r="H84" s="25">
        <f t="shared" si="5"/>
        <v>6.4</v>
      </c>
      <c r="I84" s="25">
        <f t="shared" si="6"/>
        <v>5.5</v>
      </c>
      <c r="J84" s="25">
        <f t="shared" si="7"/>
        <v>5.68</v>
      </c>
      <c r="K84" s="25">
        <f t="shared" si="8"/>
        <v>3.8714199879831765</v>
      </c>
      <c r="L84" s="25">
        <f t="shared" si="9"/>
        <v>10</v>
      </c>
    </row>
    <row r="85" spans="1:12" ht="15" customHeight="1" x14ac:dyDescent="0.35">
      <c r="A85" s="14">
        <v>83</v>
      </c>
      <c r="B85" s="17" t="str">
        <f>'Data Mentah'!D85</f>
        <v>Sales Representative</v>
      </c>
      <c r="C85" s="18">
        <f>'Data Mentah'!A85</f>
        <v>25</v>
      </c>
      <c r="D85" s="14" t="str">
        <f>'Data Mentah'!B85</f>
        <v>Male</v>
      </c>
      <c r="E85" s="14" t="str">
        <f>'Data Mentah'!C85</f>
        <v>Bachelor's</v>
      </c>
      <c r="F85" s="19">
        <f>'Data Mentah'!E85</f>
        <v>0</v>
      </c>
      <c r="G85" s="20">
        <f>'Data Mentah'!F85</f>
        <v>30000</v>
      </c>
      <c r="H85" s="21">
        <f t="shared" si="5"/>
        <v>1.6</v>
      </c>
      <c r="I85" s="21">
        <f t="shared" si="6"/>
        <v>1</v>
      </c>
      <c r="J85" s="21">
        <f t="shared" si="7"/>
        <v>1</v>
      </c>
      <c r="K85" s="21">
        <f t="shared" si="8"/>
        <v>2.0688964550370521</v>
      </c>
      <c r="L85" s="21">
        <f t="shared" si="9"/>
        <v>1</v>
      </c>
    </row>
    <row r="86" spans="1:12" ht="15" customHeight="1" x14ac:dyDescent="0.35">
      <c r="A86" s="11">
        <v>84</v>
      </c>
      <c r="B86" s="8" t="str">
        <f>'Data Mentah'!D86</f>
        <v>Chief Technology Officer</v>
      </c>
      <c r="C86" s="22">
        <f>'Data Mentah'!A86</f>
        <v>52</v>
      </c>
      <c r="D86" s="11" t="str">
        <f>'Data Mentah'!B86</f>
        <v>Male</v>
      </c>
      <c r="E86" s="11" t="str">
        <f>'Data Mentah'!C86</f>
        <v>PhD</v>
      </c>
      <c r="F86" s="23">
        <f>'Data Mentah'!E86</f>
        <v>24</v>
      </c>
      <c r="G86" s="24">
        <f>'Data Mentah'!F86</f>
        <v>250000</v>
      </c>
      <c r="H86" s="25">
        <f t="shared" si="5"/>
        <v>9.6999999999999993</v>
      </c>
      <c r="I86" s="25">
        <f t="shared" si="6"/>
        <v>10</v>
      </c>
      <c r="J86" s="25">
        <f t="shared" si="7"/>
        <v>9.64</v>
      </c>
      <c r="K86" s="25">
        <f t="shared" si="8"/>
        <v>10</v>
      </c>
      <c r="L86" s="25">
        <f t="shared" si="9"/>
        <v>1</v>
      </c>
    </row>
    <row r="87" spans="1:12" ht="15" customHeight="1" x14ac:dyDescent="0.35">
      <c r="A87" s="14">
        <v>85</v>
      </c>
      <c r="B87" s="17" t="str">
        <f>'Data Mentah'!D87</f>
        <v>Junior Designer</v>
      </c>
      <c r="C87" s="18">
        <f>'Data Mentah'!A87</f>
        <v>29</v>
      </c>
      <c r="D87" s="14" t="str">
        <f>'Data Mentah'!B87</f>
        <v>Female</v>
      </c>
      <c r="E87" s="14" t="str">
        <f>'Data Mentah'!C87</f>
        <v>Bachelor's</v>
      </c>
      <c r="F87" s="19">
        <f>'Data Mentah'!E87</f>
        <v>2</v>
      </c>
      <c r="G87" s="20">
        <f>'Data Mentah'!F87</f>
        <v>40000</v>
      </c>
      <c r="H87" s="21">
        <f t="shared" si="5"/>
        <v>2.8</v>
      </c>
      <c r="I87" s="21">
        <f t="shared" si="6"/>
        <v>1</v>
      </c>
      <c r="J87" s="21">
        <f t="shared" si="7"/>
        <v>1.72</v>
      </c>
      <c r="K87" s="21">
        <f t="shared" si="8"/>
        <v>2.4294011616262767</v>
      </c>
      <c r="L87" s="21">
        <f t="shared" si="9"/>
        <v>10</v>
      </c>
    </row>
    <row r="88" spans="1:12" ht="15" customHeight="1" x14ac:dyDescent="0.35">
      <c r="A88" s="11">
        <v>86</v>
      </c>
      <c r="B88" s="8" t="str">
        <f>'Data Mentah'!D88</f>
        <v>Financial Advisor</v>
      </c>
      <c r="C88" s="22">
        <f>'Data Mentah'!A88</f>
        <v>34</v>
      </c>
      <c r="D88" s="11" t="str">
        <f>'Data Mentah'!B88</f>
        <v>Female</v>
      </c>
      <c r="E88" s="11" t="str">
        <f>'Data Mentah'!C88</f>
        <v>Master's</v>
      </c>
      <c r="F88" s="23">
        <f>'Data Mentah'!E88</f>
        <v>10</v>
      </c>
      <c r="G88" s="24">
        <f>'Data Mentah'!F88</f>
        <v>95000</v>
      </c>
      <c r="H88" s="25">
        <f t="shared" si="5"/>
        <v>4.3</v>
      </c>
      <c r="I88" s="25">
        <f t="shared" si="6"/>
        <v>5.5</v>
      </c>
      <c r="J88" s="25">
        <f t="shared" si="7"/>
        <v>4.5999999999999996</v>
      </c>
      <c r="K88" s="25">
        <f t="shared" si="8"/>
        <v>4.4121770478670133</v>
      </c>
      <c r="L88" s="25">
        <f t="shared" si="9"/>
        <v>10</v>
      </c>
    </row>
    <row r="89" spans="1:12" ht="15" customHeight="1" x14ac:dyDescent="0.35">
      <c r="A89" s="14">
        <v>87</v>
      </c>
      <c r="B89" s="17" t="str">
        <f>'Data Mentah'!D89</f>
        <v>Junior Account Manager</v>
      </c>
      <c r="C89" s="18">
        <f>'Data Mentah'!A89</f>
        <v>27</v>
      </c>
      <c r="D89" s="14" t="str">
        <f>'Data Mentah'!B89</f>
        <v>Male</v>
      </c>
      <c r="E89" s="14" t="str">
        <f>'Data Mentah'!C89</f>
        <v>Bachelor's</v>
      </c>
      <c r="F89" s="19">
        <f>'Data Mentah'!E89</f>
        <v>2</v>
      </c>
      <c r="G89" s="20">
        <f>'Data Mentah'!F89</f>
        <v>45000</v>
      </c>
      <c r="H89" s="21">
        <f t="shared" si="5"/>
        <v>2.2000000000000002</v>
      </c>
      <c r="I89" s="21">
        <f t="shared" si="6"/>
        <v>1</v>
      </c>
      <c r="J89" s="21">
        <f t="shared" si="7"/>
        <v>1.72</v>
      </c>
      <c r="K89" s="21">
        <f t="shared" si="8"/>
        <v>2.6096535149208893</v>
      </c>
      <c r="L89" s="21">
        <f t="shared" si="9"/>
        <v>1</v>
      </c>
    </row>
    <row r="90" spans="1:12" ht="15" customHeight="1" x14ac:dyDescent="0.35">
      <c r="A90" s="11">
        <v>88</v>
      </c>
      <c r="B90" s="8" t="str">
        <f>'Data Mentah'!D90</f>
        <v>HR Generalist</v>
      </c>
      <c r="C90" s="22">
        <f>'Data Mentah'!A90</f>
        <v>40</v>
      </c>
      <c r="D90" s="11" t="str">
        <f>'Data Mentah'!B90</f>
        <v>Female</v>
      </c>
      <c r="E90" s="11" t="str">
        <f>'Data Mentah'!C90</f>
        <v>Bachelor's</v>
      </c>
      <c r="F90" s="23">
        <f>'Data Mentah'!E90</f>
        <v>15</v>
      </c>
      <c r="G90" s="24">
        <f>'Data Mentah'!F90</f>
        <v>80000</v>
      </c>
      <c r="H90" s="25">
        <f t="shared" si="5"/>
        <v>6.1</v>
      </c>
      <c r="I90" s="25">
        <f t="shared" si="6"/>
        <v>1</v>
      </c>
      <c r="J90" s="25">
        <f t="shared" si="7"/>
        <v>6.4</v>
      </c>
      <c r="K90" s="25">
        <f t="shared" si="8"/>
        <v>3.8714199879831765</v>
      </c>
      <c r="L90" s="25">
        <f t="shared" si="9"/>
        <v>10</v>
      </c>
    </row>
    <row r="91" spans="1:12" ht="15" customHeight="1" x14ac:dyDescent="0.35">
      <c r="A91" s="14">
        <v>89</v>
      </c>
      <c r="B91" s="17" t="str">
        <f>'Data Mentah'!D91</f>
        <v>Senior Project Manager</v>
      </c>
      <c r="C91" s="18">
        <f>'Data Mentah'!A91</f>
        <v>46</v>
      </c>
      <c r="D91" s="14" t="str">
        <f>'Data Mentah'!B91</f>
        <v>Male</v>
      </c>
      <c r="E91" s="14" t="str">
        <f>'Data Mentah'!C91</f>
        <v>Master's</v>
      </c>
      <c r="F91" s="19">
        <f>'Data Mentah'!E91</f>
        <v>21</v>
      </c>
      <c r="G91" s="20">
        <f>'Data Mentah'!F91</f>
        <v>135000</v>
      </c>
      <c r="H91" s="21">
        <f t="shared" si="5"/>
        <v>7.9</v>
      </c>
      <c r="I91" s="21">
        <f t="shared" si="6"/>
        <v>5.5</v>
      </c>
      <c r="J91" s="21">
        <f t="shared" si="7"/>
        <v>8.5599999999999987</v>
      </c>
      <c r="K91" s="21">
        <f t="shared" si="8"/>
        <v>5.8541958742239135</v>
      </c>
      <c r="L91" s="21">
        <f t="shared" si="9"/>
        <v>1</v>
      </c>
    </row>
    <row r="92" spans="1:12" ht="15" customHeight="1" x14ac:dyDescent="0.35">
      <c r="A92" s="11">
        <v>90</v>
      </c>
      <c r="B92" s="8" t="str">
        <f>'Data Mentah'!D92</f>
        <v>Marketing Coordinator</v>
      </c>
      <c r="C92" s="22">
        <f>'Data Mentah'!A92</f>
        <v>31</v>
      </c>
      <c r="D92" s="11" t="str">
        <f>'Data Mentah'!B92</f>
        <v>Female</v>
      </c>
      <c r="E92" s="11" t="str">
        <f>'Data Mentah'!C92</f>
        <v>Bachelor's</v>
      </c>
      <c r="F92" s="23">
        <f>'Data Mentah'!E92</f>
        <v>6</v>
      </c>
      <c r="G92" s="24">
        <f>'Data Mentah'!F92</f>
        <v>55000</v>
      </c>
      <c r="H92" s="25">
        <f t="shared" si="5"/>
        <v>3.4</v>
      </c>
      <c r="I92" s="25">
        <f t="shared" si="6"/>
        <v>1</v>
      </c>
      <c r="J92" s="25">
        <f t="shared" si="7"/>
        <v>3.16</v>
      </c>
      <c r="K92" s="25">
        <f t="shared" si="8"/>
        <v>2.9701582215101139</v>
      </c>
      <c r="L92" s="25">
        <f t="shared" si="9"/>
        <v>10</v>
      </c>
    </row>
    <row r="93" spans="1:12" ht="15" customHeight="1" x14ac:dyDescent="0.35">
      <c r="A93" s="14">
        <v>91</v>
      </c>
      <c r="B93" s="17" t="str">
        <f>'Data Mentah'!D93</f>
        <v>Principal Scientist</v>
      </c>
      <c r="C93" s="18">
        <f>'Data Mentah'!A93</f>
        <v>36</v>
      </c>
      <c r="D93" s="14" t="str">
        <f>'Data Mentah'!B93</f>
        <v>Male</v>
      </c>
      <c r="E93" s="14" t="str">
        <f>'Data Mentah'!C93</f>
        <v>PhD</v>
      </c>
      <c r="F93" s="19">
        <f>'Data Mentah'!E93</f>
        <v>11</v>
      </c>
      <c r="G93" s="20">
        <f>'Data Mentah'!F93</f>
        <v>120000</v>
      </c>
      <c r="H93" s="21">
        <f t="shared" si="5"/>
        <v>4.9000000000000004</v>
      </c>
      <c r="I93" s="21">
        <f t="shared" si="6"/>
        <v>10</v>
      </c>
      <c r="J93" s="21">
        <f t="shared" si="7"/>
        <v>4.96</v>
      </c>
      <c r="K93" s="21">
        <f t="shared" si="8"/>
        <v>5.3134388143400759</v>
      </c>
      <c r="L93" s="21">
        <f t="shared" si="9"/>
        <v>1</v>
      </c>
    </row>
    <row r="94" spans="1:12" ht="15" customHeight="1" x14ac:dyDescent="0.35">
      <c r="A94" s="11">
        <v>92</v>
      </c>
      <c r="B94" s="8" t="str">
        <f>'Data Mentah'!D94</f>
        <v>Sales Associate</v>
      </c>
      <c r="C94" s="22">
        <f>'Data Mentah'!A94</f>
        <v>29</v>
      </c>
      <c r="D94" s="11" t="str">
        <f>'Data Mentah'!B94</f>
        <v>Female</v>
      </c>
      <c r="E94" s="11" t="str">
        <f>'Data Mentah'!C94</f>
        <v>Bachelor's</v>
      </c>
      <c r="F94" s="23">
        <f>'Data Mentah'!E94</f>
        <v>3</v>
      </c>
      <c r="G94" s="24">
        <f>'Data Mentah'!F94</f>
        <v>40000</v>
      </c>
      <c r="H94" s="25">
        <f t="shared" si="5"/>
        <v>2.8</v>
      </c>
      <c r="I94" s="25">
        <f t="shared" si="6"/>
        <v>1</v>
      </c>
      <c r="J94" s="25">
        <f t="shared" si="7"/>
        <v>2.08</v>
      </c>
      <c r="K94" s="25">
        <f t="shared" si="8"/>
        <v>2.4294011616262767</v>
      </c>
      <c r="L94" s="25">
        <f t="shared" si="9"/>
        <v>10</v>
      </c>
    </row>
    <row r="95" spans="1:12" ht="15" customHeight="1" x14ac:dyDescent="0.35">
      <c r="A95" s="14">
        <v>93</v>
      </c>
      <c r="B95" s="17" t="str">
        <f>'Data Mentah'!D95</f>
        <v>Supply Chain Manager</v>
      </c>
      <c r="C95" s="18">
        <f>'Data Mentah'!A95</f>
        <v>43</v>
      </c>
      <c r="D95" s="14" t="str">
        <f>'Data Mentah'!B95</f>
        <v>Male</v>
      </c>
      <c r="E95" s="14" t="str">
        <f>'Data Mentah'!C95</f>
        <v>Bachelor's</v>
      </c>
      <c r="F95" s="19">
        <f>'Data Mentah'!E95</f>
        <v>18</v>
      </c>
      <c r="G95" s="20">
        <f>'Data Mentah'!F95</f>
        <v>105000</v>
      </c>
      <c r="H95" s="21">
        <f t="shared" si="5"/>
        <v>7</v>
      </c>
      <c r="I95" s="21">
        <f t="shared" si="6"/>
        <v>1</v>
      </c>
      <c r="J95" s="21">
        <f t="shared" si="7"/>
        <v>7.48</v>
      </c>
      <c r="K95" s="21">
        <f t="shared" si="8"/>
        <v>4.7726817544562383</v>
      </c>
      <c r="L95" s="21">
        <f t="shared" si="9"/>
        <v>1</v>
      </c>
    </row>
    <row r="96" spans="1:12" ht="15" customHeight="1" x14ac:dyDescent="0.35">
      <c r="A96" s="11">
        <v>94</v>
      </c>
      <c r="B96" s="8" t="str">
        <f>'Data Mentah'!D96</f>
        <v>Senior Marketing Manager</v>
      </c>
      <c r="C96" s="22">
        <f>'Data Mentah'!A96</f>
        <v>52</v>
      </c>
      <c r="D96" s="11" t="str">
        <f>'Data Mentah'!B96</f>
        <v>Female</v>
      </c>
      <c r="E96" s="11" t="str">
        <f>'Data Mentah'!C96</f>
        <v>Master's</v>
      </c>
      <c r="F96" s="23">
        <f>'Data Mentah'!E96</f>
        <v>25</v>
      </c>
      <c r="G96" s="24">
        <f>'Data Mentah'!F96</f>
        <v>170000</v>
      </c>
      <c r="H96" s="25">
        <f t="shared" si="5"/>
        <v>9.6999999999999993</v>
      </c>
      <c r="I96" s="25">
        <f t="shared" si="6"/>
        <v>5.5</v>
      </c>
      <c r="J96" s="25">
        <f t="shared" si="7"/>
        <v>10</v>
      </c>
      <c r="K96" s="25">
        <f t="shared" si="8"/>
        <v>7.1159623472862004</v>
      </c>
      <c r="L96" s="25">
        <f t="shared" si="9"/>
        <v>10</v>
      </c>
    </row>
    <row r="97" spans="1:12" ht="15" customHeight="1" x14ac:dyDescent="0.35">
      <c r="A97" s="14">
        <v>95</v>
      </c>
      <c r="B97" s="17" t="str">
        <f>'Data Mentah'!D97</f>
        <v>Business Analyst</v>
      </c>
      <c r="C97" s="18">
        <f>'Data Mentah'!A97</f>
        <v>33</v>
      </c>
      <c r="D97" s="14" t="str">
        <f>'Data Mentah'!B97</f>
        <v>Male</v>
      </c>
      <c r="E97" s="14" t="str">
        <f>'Data Mentah'!C97</f>
        <v>Bachelor's</v>
      </c>
      <c r="F97" s="19">
        <f>'Data Mentah'!E97</f>
        <v>7</v>
      </c>
      <c r="G97" s="20">
        <f>'Data Mentah'!F97</f>
        <v>75000</v>
      </c>
      <c r="H97" s="21">
        <f t="shared" si="5"/>
        <v>4</v>
      </c>
      <c r="I97" s="21">
        <f t="shared" si="6"/>
        <v>1</v>
      </c>
      <c r="J97" s="21">
        <f t="shared" si="7"/>
        <v>3.52</v>
      </c>
      <c r="K97" s="21">
        <f t="shared" si="8"/>
        <v>3.691167634688564</v>
      </c>
      <c r="L97" s="21">
        <f t="shared" si="9"/>
        <v>1</v>
      </c>
    </row>
    <row r="98" spans="1:12" ht="15" customHeight="1" x14ac:dyDescent="0.35">
      <c r="A98" s="11">
        <v>96</v>
      </c>
      <c r="B98" s="8" t="str">
        <f>'Data Mentah'!D98</f>
        <v>Training Specialist</v>
      </c>
      <c r="C98" s="22">
        <f>'Data Mentah'!A98</f>
        <v>39</v>
      </c>
      <c r="D98" s="11" t="str">
        <f>'Data Mentah'!B98</f>
        <v>Female</v>
      </c>
      <c r="E98" s="11" t="str">
        <f>'Data Mentah'!C98</f>
        <v>Bachelor's</v>
      </c>
      <c r="F98" s="23">
        <f>'Data Mentah'!E98</f>
        <v>12</v>
      </c>
      <c r="G98" s="24">
        <f>'Data Mentah'!F98</f>
        <v>65000</v>
      </c>
      <c r="H98" s="25">
        <f t="shared" si="5"/>
        <v>5.8</v>
      </c>
      <c r="I98" s="25">
        <f t="shared" si="6"/>
        <v>1</v>
      </c>
      <c r="J98" s="25">
        <f t="shared" si="7"/>
        <v>5.32</v>
      </c>
      <c r="K98" s="25">
        <f t="shared" si="8"/>
        <v>3.3306629280993389</v>
      </c>
      <c r="L98" s="25">
        <f t="shared" si="9"/>
        <v>10</v>
      </c>
    </row>
    <row r="99" spans="1:12" ht="15" customHeight="1" x14ac:dyDescent="0.35">
      <c r="A99" s="14">
        <v>97</v>
      </c>
      <c r="B99" s="17" t="str">
        <f>'Data Mentah'!D99</f>
        <v>Research Scientist</v>
      </c>
      <c r="C99" s="18">
        <f>'Data Mentah'!A99</f>
        <v>47</v>
      </c>
      <c r="D99" s="14" t="str">
        <f>'Data Mentah'!B99</f>
        <v>Male</v>
      </c>
      <c r="E99" s="14" t="str">
        <f>'Data Mentah'!C99</f>
        <v>PhD</v>
      </c>
      <c r="F99" s="19">
        <f>'Data Mentah'!E99</f>
        <v>22</v>
      </c>
      <c r="G99" s="20">
        <f>'Data Mentah'!F99</f>
        <v>160000</v>
      </c>
      <c r="H99" s="21">
        <f t="shared" si="5"/>
        <v>8.1999999999999993</v>
      </c>
      <c r="I99" s="21">
        <f t="shared" si="6"/>
        <v>10</v>
      </c>
      <c r="J99" s="21">
        <f t="shared" si="7"/>
        <v>8.92</v>
      </c>
      <c r="K99" s="21">
        <f t="shared" si="8"/>
        <v>6.7554576406969762</v>
      </c>
      <c r="L99" s="21">
        <f t="shared" si="9"/>
        <v>1</v>
      </c>
    </row>
    <row r="100" spans="1:12" ht="15" customHeight="1" x14ac:dyDescent="0.35">
      <c r="A100" s="11">
        <v>98</v>
      </c>
      <c r="B100" s="8" t="str">
        <f>'Data Mentah'!D100</f>
        <v>Junior Software Developer</v>
      </c>
      <c r="C100" s="22">
        <f>'Data Mentah'!A100</f>
        <v>26</v>
      </c>
      <c r="D100" s="11" t="str">
        <f>'Data Mentah'!B100</f>
        <v>Male</v>
      </c>
      <c r="E100" s="11" t="str">
        <f>'Data Mentah'!C100</f>
        <v>Bachelor's</v>
      </c>
      <c r="F100" s="23">
        <f>'Data Mentah'!E100</f>
        <v>1</v>
      </c>
      <c r="G100" s="24">
        <f>'Data Mentah'!F100</f>
        <v>35000</v>
      </c>
      <c r="H100" s="25">
        <f t="shared" si="5"/>
        <v>1.9</v>
      </c>
      <c r="I100" s="25">
        <f t="shared" si="6"/>
        <v>1</v>
      </c>
      <c r="J100" s="25">
        <f t="shared" si="7"/>
        <v>1.3599999999999999</v>
      </c>
      <c r="K100" s="25">
        <f t="shared" si="8"/>
        <v>2.2491488083316646</v>
      </c>
      <c r="L100" s="25">
        <f t="shared" si="9"/>
        <v>1</v>
      </c>
    </row>
    <row r="101" spans="1:12" ht="15" customHeight="1" x14ac:dyDescent="0.35">
      <c r="A101" s="14">
        <v>99</v>
      </c>
      <c r="B101" s="17" t="str">
        <f>'Data Mentah'!D101</f>
        <v>Public Relations Manager</v>
      </c>
      <c r="C101" s="18">
        <f>'Data Mentah'!A101</f>
        <v>38</v>
      </c>
      <c r="D101" s="14" t="str">
        <f>'Data Mentah'!B101</f>
        <v>Female</v>
      </c>
      <c r="E101" s="14" t="str">
        <f>'Data Mentah'!C101</f>
        <v>Master's</v>
      </c>
      <c r="F101" s="19">
        <f>'Data Mentah'!E101</f>
        <v>10</v>
      </c>
      <c r="G101" s="20">
        <f>'Data Mentah'!F101</f>
        <v>90000</v>
      </c>
      <c r="H101" s="21">
        <f t="shared" si="5"/>
        <v>5.5</v>
      </c>
      <c r="I101" s="21">
        <f t="shared" si="6"/>
        <v>5.5</v>
      </c>
      <c r="J101" s="21">
        <f t="shared" si="7"/>
        <v>4.5999999999999996</v>
      </c>
      <c r="K101" s="21">
        <f t="shared" si="8"/>
        <v>4.2319246945724007</v>
      </c>
      <c r="L101" s="21">
        <f t="shared" si="9"/>
        <v>10</v>
      </c>
    </row>
    <row r="102" spans="1:12" ht="15" customHeight="1" x14ac:dyDescent="0.35">
      <c r="A102" s="11">
        <v>100</v>
      </c>
      <c r="B102" s="8" t="str">
        <f>'Data Mentah'!D102</f>
        <v>Operations Analyst</v>
      </c>
      <c r="C102" s="22">
        <f>'Data Mentah'!A102</f>
        <v>45</v>
      </c>
      <c r="D102" s="11" t="str">
        <f>'Data Mentah'!B102</f>
        <v>Male</v>
      </c>
      <c r="E102" s="11" t="str">
        <f>'Data Mentah'!C102</f>
        <v>Bachelor's</v>
      </c>
      <c r="F102" s="23">
        <f>'Data Mentah'!E102</f>
        <v>20</v>
      </c>
      <c r="G102" s="24">
        <f>'Data Mentah'!F102</f>
        <v>110000</v>
      </c>
      <c r="H102" s="25">
        <f t="shared" si="5"/>
        <v>7.6</v>
      </c>
      <c r="I102" s="25">
        <f t="shared" si="6"/>
        <v>1</v>
      </c>
      <c r="J102" s="25">
        <f t="shared" si="7"/>
        <v>8.1999999999999993</v>
      </c>
      <c r="K102" s="25">
        <f t="shared" si="8"/>
        <v>4.9529341077508509</v>
      </c>
      <c r="L102" s="25">
        <f t="shared" si="9"/>
        <v>1</v>
      </c>
    </row>
    <row r="103" spans="1:12" ht="15" customHeight="1" x14ac:dyDescent="0.35">
      <c r="A103" s="14">
        <v>101</v>
      </c>
      <c r="B103" s="17" t="str">
        <f>'Data Mentah'!D103</f>
        <v>Event Coordinator</v>
      </c>
      <c r="C103" s="18">
        <f>'Data Mentah'!A103</f>
        <v>31</v>
      </c>
      <c r="D103" s="14" t="str">
        <f>'Data Mentah'!B103</f>
        <v>Female</v>
      </c>
      <c r="E103" s="14" t="str">
        <f>'Data Mentah'!C103</f>
        <v>Bachelor's</v>
      </c>
      <c r="F103" s="19">
        <f>'Data Mentah'!E103</f>
        <v>5</v>
      </c>
      <c r="G103" s="20">
        <f>'Data Mentah'!F103</f>
        <v>45000</v>
      </c>
      <c r="H103" s="21">
        <f t="shared" si="5"/>
        <v>3.4</v>
      </c>
      <c r="I103" s="21">
        <f t="shared" si="6"/>
        <v>1</v>
      </c>
      <c r="J103" s="21">
        <f t="shared" si="7"/>
        <v>2.8</v>
      </c>
      <c r="K103" s="21">
        <f t="shared" si="8"/>
        <v>2.6096535149208893</v>
      </c>
      <c r="L103" s="21">
        <f t="shared" si="9"/>
        <v>10</v>
      </c>
    </row>
    <row r="104" spans="1:12" ht="15" customHeight="1" x14ac:dyDescent="0.35">
      <c r="A104" s="11">
        <v>102</v>
      </c>
      <c r="B104" s="8" t="str">
        <f>'Data Mentah'!D104</f>
        <v>Product Marketing Manager</v>
      </c>
      <c r="C104" s="22">
        <f>'Data Mentah'!A104</f>
        <v>35</v>
      </c>
      <c r="D104" s="11" t="str">
        <f>'Data Mentah'!B104</f>
        <v>Male</v>
      </c>
      <c r="E104" s="11" t="str">
        <f>'Data Mentah'!C104</f>
        <v>Master's</v>
      </c>
      <c r="F104" s="23">
        <f>'Data Mentah'!E104</f>
        <v>8</v>
      </c>
      <c r="G104" s="24">
        <f>'Data Mentah'!F104</f>
        <v>95000</v>
      </c>
      <c r="H104" s="25">
        <f t="shared" si="5"/>
        <v>4.5999999999999996</v>
      </c>
      <c r="I104" s="25">
        <f t="shared" si="6"/>
        <v>5.5</v>
      </c>
      <c r="J104" s="25">
        <f t="shared" si="7"/>
        <v>3.88</v>
      </c>
      <c r="K104" s="25">
        <f t="shared" si="8"/>
        <v>4.4121770478670133</v>
      </c>
      <c r="L104" s="25">
        <f t="shared" si="9"/>
        <v>1</v>
      </c>
    </row>
    <row r="105" spans="1:12" ht="15" customHeight="1" x14ac:dyDescent="0.35">
      <c r="A105" s="14">
        <v>103</v>
      </c>
      <c r="B105" s="17" t="str">
        <f>'Data Mentah'!D105</f>
        <v>Senior HR Manager</v>
      </c>
      <c r="C105" s="18">
        <f>'Data Mentah'!A105</f>
        <v>49</v>
      </c>
      <c r="D105" s="14" t="str">
        <f>'Data Mentah'!B105</f>
        <v>Female</v>
      </c>
      <c r="E105" s="14" t="str">
        <f>'Data Mentah'!C105</f>
        <v>Master's</v>
      </c>
      <c r="F105" s="19">
        <f>'Data Mentah'!E105</f>
        <v>19</v>
      </c>
      <c r="G105" s="20">
        <f>'Data Mentah'!F105</f>
        <v>150000</v>
      </c>
      <c r="H105" s="21">
        <f t="shared" si="5"/>
        <v>8.8000000000000007</v>
      </c>
      <c r="I105" s="21">
        <f t="shared" si="6"/>
        <v>5.5</v>
      </c>
      <c r="J105" s="21">
        <f t="shared" si="7"/>
        <v>7.84</v>
      </c>
      <c r="K105" s="21">
        <f t="shared" si="8"/>
        <v>6.3949529341077511</v>
      </c>
      <c r="L105" s="21">
        <f t="shared" si="9"/>
        <v>10</v>
      </c>
    </row>
    <row r="106" spans="1:12" ht="15" customHeight="1" x14ac:dyDescent="0.35">
      <c r="A106" s="11">
        <v>104</v>
      </c>
      <c r="B106" s="8" t="str">
        <f>'Data Mentah'!D106</f>
        <v>Junior Web Developer</v>
      </c>
      <c r="C106" s="22">
        <f>'Data Mentah'!A106</f>
        <v>33</v>
      </c>
      <c r="D106" s="11" t="str">
        <f>'Data Mentah'!B106</f>
        <v>Male</v>
      </c>
      <c r="E106" s="11" t="str">
        <f>'Data Mentah'!C106</f>
        <v>Bachelor's</v>
      </c>
      <c r="F106" s="23">
        <f>'Data Mentah'!E106</f>
        <v>5</v>
      </c>
      <c r="G106" s="24">
        <f>'Data Mentah'!F106</f>
        <v>50000</v>
      </c>
      <c r="H106" s="25">
        <f t="shared" si="5"/>
        <v>4</v>
      </c>
      <c r="I106" s="25">
        <f t="shared" si="6"/>
        <v>1</v>
      </c>
      <c r="J106" s="25">
        <f t="shared" si="7"/>
        <v>2.8</v>
      </c>
      <c r="K106" s="25">
        <f t="shared" si="8"/>
        <v>2.7899058682155018</v>
      </c>
      <c r="L106" s="25">
        <f t="shared" si="9"/>
        <v>1</v>
      </c>
    </row>
    <row r="107" spans="1:12" ht="15" customHeight="1" x14ac:dyDescent="0.35">
      <c r="A107" s="14">
        <v>105</v>
      </c>
      <c r="B107" s="17" t="str">
        <f>'Data Mentah'!D107</f>
        <v>Senior Project Coordinator</v>
      </c>
      <c r="C107" s="18">
        <f>'Data Mentah'!A107</f>
        <v>39</v>
      </c>
      <c r="D107" s="14" t="str">
        <f>'Data Mentah'!B107</f>
        <v>Female</v>
      </c>
      <c r="E107" s="14" t="str">
        <f>'Data Mentah'!C107</f>
        <v>Master's</v>
      </c>
      <c r="F107" s="19">
        <f>'Data Mentah'!E107</f>
        <v>13</v>
      </c>
      <c r="G107" s="20">
        <f>'Data Mentah'!F107</f>
        <v>80000</v>
      </c>
      <c r="H107" s="21">
        <f t="shared" si="5"/>
        <v>5.8</v>
      </c>
      <c r="I107" s="21">
        <f t="shared" si="6"/>
        <v>5.5</v>
      </c>
      <c r="J107" s="21">
        <f t="shared" si="7"/>
        <v>5.68</v>
      </c>
      <c r="K107" s="21">
        <f t="shared" si="8"/>
        <v>3.8714199879831765</v>
      </c>
      <c r="L107" s="21">
        <f t="shared" si="9"/>
        <v>10</v>
      </c>
    </row>
    <row r="108" spans="1:12" ht="15" customHeight="1" x14ac:dyDescent="0.35">
      <c r="A108" s="11">
        <v>106</v>
      </c>
      <c r="B108" s="8" t="str">
        <f>'Data Mentah'!D108</f>
        <v>Chief Data Officer</v>
      </c>
      <c r="C108" s="22">
        <f>'Data Mentah'!A108</f>
        <v>44</v>
      </c>
      <c r="D108" s="11" t="str">
        <f>'Data Mentah'!B108</f>
        <v>Male</v>
      </c>
      <c r="E108" s="11" t="str">
        <f>'Data Mentah'!C108</f>
        <v>PhD</v>
      </c>
      <c r="F108" s="23">
        <f>'Data Mentah'!E108</f>
        <v>16</v>
      </c>
      <c r="G108" s="24">
        <f>'Data Mentah'!F108</f>
        <v>220000</v>
      </c>
      <c r="H108" s="25">
        <f t="shared" si="5"/>
        <v>7.3</v>
      </c>
      <c r="I108" s="25">
        <f t="shared" si="6"/>
        <v>10</v>
      </c>
      <c r="J108" s="25">
        <f t="shared" si="7"/>
        <v>6.76</v>
      </c>
      <c r="K108" s="25">
        <f t="shared" si="8"/>
        <v>8.9184858802323248</v>
      </c>
      <c r="L108" s="25">
        <f t="shared" si="9"/>
        <v>1</v>
      </c>
    </row>
    <row r="109" spans="1:12" ht="15" customHeight="1" x14ac:dyDescent="0.35">
      <c r="A109" s="14">
        <v>107</v>
      </c>
      <c r="B109" s="17" t="str">
        <f>'Data Mentah'!D109</f>
        <v>Digital Content Producer</v>
      </c>
      <c r="C109" s="18">
        <f>'Data Mentah'!A109</f>
        <v>30</v>
      </c>
      <c r="D109" s="14" t="str">
        <f>'Data Mentah'!B109</f>
        <v>Female</v>
      </c>
      <c r="E109" s="14" t="str">
        <f>'Data Mentah'!C109</f>
        <v>Bachelor's</v>
      </c>
      <c r="F109" s="19">
        <f>'Data Mentah'!E109</f>
        <v>3</v>
      </c>
      <c r="G109" s="20">
        <f>'Data Mentah'!F109</f>
        <v>50000</v>
      </c>
      <c r="H109" s="21">
        <f t="shared" si="5"/>
        <v>3.1</v>
      </c>
      <c r="I109" s="21">
        <f t="shared" si="6"/>
        <v>1</v>
      </c>
      <c r="J109" s="21">
        <f t="shared" si="7"/>
        <v>2.08</v>
      </c>
      <c r="K109" s="21">
        <f t="shared" si="8"/>
        <v>2.7899058682155018</v>
      </c>
      <c r="L109" s="21">
        <f t="shared" si="9"/>
        <v>10</v>
      </c>
    </row>
    <row r="110" spans="1:12" ht="15" customHeight="1" x14ac:dyDescent="0.35">
      <c r="A110" s="11">
        <v>108</v>
      </c>
      <c r="B110" s="8" t="str">
        <f>'Data Mentah'!D110</f>
        <v>IT Support Specialist</v>
      </c>
      <c r="C110" s="22">
        <f>'Data Mentah'!A110</f>
        <v>36</v>
      </c>
      <c r="D110" s="11" t="str">
        <f>'Data Mentah'!B110</f>
        <v>Male</v>
      </c>
      <c r="E110" s="11" t="str">
        <f>'Data Mentah'!C110</f>
        <v>Bachelor's</v>
      </c>
      <c r="F110" s="23">
        <f>'Data Mentah'!E110</f>
        <v>7</v>
      </c>
      <c r="G110" s="24">
        <f>'Data Mentah'!F110</f>
        <v>60000</v>
      </c>
      <c r="H110" s="25">
        <f t="shared" si="5"/>
        <v>4.9000000000000004</v>
      </c>
      <c r="I110" s="25">
        <f t="shared" si="6"/>
        <v>1</v>
      </c>
      <c r="J110" s="25">
        <f t="shared" si="7"/>
        <v>3.52</v>
      </c>
      <c r="K110" s="25">
        <f t="shared" si="8"/>
        <v>3.1504105748047264</v>
      </c>
      <c r="L110" s="25">
        <f t="shared" si="9"/>
        <v>1</v>
      </c>
    </row>
    <row r="111" spans="1:12" ht="15" customHeight="1" x14ac:dyDescent="0.35">
      <c r="A111" s="14">
        <v>109</v>
      </c>
      <c r="B111" s="17" t="str">
        <f>'Data Mentah'!D111</f>
        <v>Senior Marketing Analyst</v>
      </c>
      <c r="C111" s="18">
        <f>'Data Mentah'!A111</f>
        <v>41</v>
      </c>
      <c r="D111" s="14" t="str">
        <f>'Data Mentah'!B111</f>
        <v>Female</v>
      </c>
      <c r="E111" s="14" t="str">
        <f>'Data Mentah'!C111</f>
        <v>Master's</v>
      </c>
      <c r="F111" s="19">
        <f>'Data Mentah'!E111</f>
        <v>14</v>
      </c>
      <c r="G111" s="20">
        <f>'Data Mentah'!F111</f>
        <v>100000</v>
      </c>
      <c r="H111" s="21">
        <f t="shared" si="5"/>
        <v>6.4</v>
      </c>
      <c r="I111" s="21">
        <f t="shared" si="6"/>
        <v>5.5</v>
      </c>
      <c r="J111" s="21">
        <f t="shared" si="7"/>
        <v>6.04</v>
      </c>
      <c r="K111" s="21">
        <f t="shared" si="8"/>
        <v>4.5924294011616258</v>
      </c>
      <c r="L111" s="21">
        <f t="shared" si="9"/>
        <v>10</v>
      </c>
    </row>
    <row r="112" spans="1:12" ht="15" customHeight="1" x14ac:dyDescent="0.35">
      <c r="A112" s="11">
        <v>110</v>
      </c>
      <c r="B112" s="8" t="str">
        <f>'Data Mentah'!D112</f>
        <v>Customer Success Manager</v>
      </c>
      <c r="C112" s="22">
        <f>'Data Mentah'!A112</f>
        <v>28</v>
      </c>
      <c r="D112" s="11" t="str">
        <f>'Data Mentah'!B112</f>
        <v>Male</v>
      </c>
      <c r="E112" s="11" t="str">
        <f>'Data Mentah'!C112</f>
        <v>Bachelor's</v>
      </c>
      <c r="F112" s="23">
        <f>'Data Mentah'!E112</f>
        <v>2</v>
      </c>
      <c r="G112" s="24">
        <f>'Data Mentah'!F112</f>
        <v>40000</v>
      </c>
      <c r="H112" s="25">
        <f t="shared" si="5"/>
        <v>2.5</v>
      </c>
      <c r="I112" s="25">
        <f t="shared" si="6"/>
        <v>1</v>
      </c>
      <c r="J112" s="25">
        <f t="shared" si="7"/>
        <v>1.72</v>
      </c>
      <c r="K112" s="25">
        <f t="shared" si="8"/>
        <v>2.4294011616262767</v>
      </c>
      <c r="L112" s="25">
        <f t="shared" si="9"/>
        <v>1</v>
      </c>
    </row>
    <row r="113" spans="1:12" ht="15" customHeight="1" x14ac:dyDescent="0.35">
      <c r="A113" s="14">
        <v>111</v>
      </c>
      <c r="B113" s="17" t="str">
        <f>'Data Mentah'!D113</f>
        <v>Senior Graphic Designer</v>
      </c>
      <c r="C113" s="18">
        <f>'Data Mentah'!A113</f>
        <v>42</v>
      </c>
      <c r="D113" s="14" t="str">
        <f>'Data Mentah'!B113</f>
        <v>Female</v>
      </c>
      <c r="E113" s="14" t="str">
        <f>'Data Mentah'!C113</f>
        <v>Master's</v>
      </c>
      <c r="F113" s="19">
        <f>'Data Mentah'!E113</f>
        <v>15</v>
      </c>
      <c r="G113" s="20">
        <f>'Data Mentah'!F113</f>
        <v>110000</v>
      </c>
      <c r="H113" s="21">
        <f t="shared" si="5"/>
        <v>6.7</v>
      </c>
      <c r="I113" s="21">
        <f t="shared" si="6"/>
        <v>5.5</v>
      </c>
      <c r="J113" s="21">
        <f t="shared" si="7"/>
        <v>6.4</v>
      </c>
      <c r="K113" s="21">
        <f t="shared" si="8"/>
        <v>4.9529341077508509</v>
      </c>
      <c r="L113" s="21">
        <f t="shared" si="9"/>
        <v>10</v>
      </c>
    </row>
    <row r="114" spans="1:12" ht="15" customHeight="1" x14ac:dyDescent="0.35">
      <c r="A114" s="11">
        <v>112</v>
      </c>
      <c r="B114" s="8" t="str">
        <f>'Data Mentah'!D114</f>
        <v>Software Project Manager</v>
      </c>
      <c r="C114" s="22">
        <f>'Data Mentah'!A114</f>
        <v>37</v>
      </c>
      <c r="D114" s="11" t="str">
        <f>'Data Mentah'!B114</f>
        <v>Male</v>
      </c>
      <c r="E114" s="11" t="str">
        <f>'Data Mentah'!C114</f>
        <v>Bachelor's</v>
      </c>
      <c r="F114" s="23">
        <f>'Data Mentah'!E114</f>
        <v>9</v>
      </c>
      <c r="G114" s="24">
        <f>'Data Mentah'!F114</f>
        <v>95000</v>
      </c>
      <c r="H114" s="25">
        <f t="shared" si="5"/>
        <v>5.2</v>
      </c>
      <c r="I114" s="25">
        <f t="shared" si="6"/>
        <v>1</v>
      </c>
      <c r="J114" s="25">
        <f t="shared" si="7"/>
        <v>4.24</v>
      </c>
      <c r="K114" s="25">
        <f t="shared" si="8"/>
        <v>4.4121770478670133</v>
      </c>
      <c r="L114" s="25">
        <f t="shared" si="9"/>
        <v>1</v>
      </c>
    </row>
    <row r="115" spans="1:12" ht="15" customHeight="1" x14ac:dyDescent="0.35">
      <c r="A115" s="14">
        <v>113</v>
      </c>
      <c r="B115" s="17" t="str">
        <f>'Data Mentah'!D115</f>
        <v>Supply Chain Analyst</v>
      </c>
      <c r="C115" s="18">
        <f>'Data Mentah'!A115</f>
        <v>50</v>
      </c>
      <c r="D115" s="14" t="str">
        <f>'Data Mentah'!B115</f>
        <v>Female</v>
      </c>
      <c r="E115" s="14" t="str">
        <f>'Data Mentah'!C115</f>
        <v>Bachelor's</v>
      </c>
      <c r="F115" s="19">
        <f>'Data Mentah'!E115</f>
        <v>22</v>
      </c>
      <c r="G115" s="20">
        <f>'Data Mentah'!F115</f>
        <v>130000</v>
      </c>
      <c r="H115" s="21">
        <f t="shared" si="5"/>
        <v>9.1</v>
      </c>
      <c r="I115" s="21">
        <f t="shared" si="6"/>
        <v>1</v>
      </c>
      <c r="J115" s="21">
        <f t="shared" si="7"/>
        <v>8.92</v>
      </c>
      <c r="K115" s="21">
        <f t="shared" si="8"/>
        <v>5.673943520929301</v>
      </c>
      <c r="L115" s="21">
        <f t="shared" si="9"/>
        <v>10</v>
      </c>
    </row>
    <row r="116" spans="1:12" ht="15" customHeight="1" x14ac:dyDescent="0.35">
      <c r="A116" s="11">
        <v>114</v>
      </c>
      <c r="B116" s="8" t="str">
        <f>'Data Mentah'!D116</f>
        <v>Senior Business Analyst</v>
      </c>
      <c r="C116" s="22">
        <f>'Data Mentah'!A116</f>
        <v>32</v>
      </c>
      <c r="D116" s="11" t="str">
        <f>'Data Mentah'!B116</f>
        <v>Male</v>
      </c>
      <c r="E116" s="11" t="str">
        <f>'Data Mentah'!C116</f>
        <v>Master's</v>
      </c>
      <c r="F116" s="23">
        <f>'Data Mentah'!E116</f>
        <v>6</v>
      </c>
      <c r="G116" s="24">
        <f>'Data Mentah'!F116</f>
        <v>90000</v>
      </c>
      <c r="H116" s="25">
        <f t="shared" si="5"/>
        <v>3.7</v>
      </c>
      <c r="I116" s="25">
        <f t="shared" si="6"/>
        <v>5.5</v>
      </c>
      <c r="J116" s="25">
        <f t="shared" si="7"/>
        <v>3.16</v>
      </c>
      <c r="K116" s="25">
        <f t="shared" si="8"/>
        <v>4.2319246945724007</v>
      </c>
      <c r="L116" s="25">
        <f t="shared" si="9"/>
        <v>1</v>
      </c>
    </row>
    <row r="117" spans="1:12" ht="15" customHeight="1" x14ac:dyDescent="0.35">
      <c r="A117" s="14">
        <v>115</v>
      </c>
      <c r="B117" s="17" t="str">
        <f>'Data Mentah'!D117</f>
        <v>Junior Marketing Analyst</v>
      </c>
      <c r="C117" s="18">
        <f>'Data Mentah'!A117</f>
        <v>23</v>
      </c>
      <c r="D117" s="14" t="str">
        <f>'Data Mentah'!B117</f>
        <v>Female</v>
      </c>
      <c r="E117" s="14" t="str">
        <f>'Data Mentah'!C117</f>
        <v>Bachelor's</v>
      </c>
      <c r="F117" s="19">
        <f>'Data Mentah'!E117</f>
        <v>0.5</v>
      </c>
      <c r="G117" s="20">
        <f>'Data Mentah'!F117</f>
        <v>35000</v>
      </c>
      <c r="H117" s="21">
        <f t="shared" si="5"/>
        <v>1</v>
      </c>
      <c r="I117" s="21">
        <f t="shared" si="6"/>
        <v>1</v>
      </c>
      <c r="J117" s="21">
        <f t="shared" si="7"/>
        <v>1.18</v>
      </c>
      <c r="K117" s="21">
        <f t="shared" si="8"/>
        <v>2.2491488083316646</v>
      </c>
      <c r="L117" s="21">
        <f t="shared" si="9"/>
        <v>10</v>
      </c>
    </row>
    <row r="118" spans="1:12" ht="15" customHeight="1" x14ac:dyDescent="0.35">
      <c r="A118" s="11">
        <v>116</v>
      </c>
      <c r="B118" s="8" t="str">
        <f>'Data Mentah'!D118</f>
        <v>Senior Financial Analyst</v>
      </c>
      <c r="C118" s="22">
        <f>'Data Mentah'!A118</f>
        <v>31</v>
      </c>
      <c r="D118" s="11" t="str">
        <f>'Data Mentah'!B118</f>
        <v>Male</v>
      </c>
      <c r="E118" s="11" t="str">
        <f>'Data Mentah'!C118</f>
        <v>Master's</v>
      </c>
      <c r="F118" s="23">
        <f>'Data Mentah'!E118</f>
        <v>6</v>
      </c>
      <c r="G118" s="24">
        <f>'Data Mentah'!F118</f>
        <v>95000</v>
      </c>
      <c r="H118" s="25">
        <f t="shared" si="5"/>
        <v>3.4</v>
      </c>
      <c r="I118" s="25">
        <f t="shared" si="6"/>
        <v>5.5</v>
      </c>
      <c r="J118" s="25">
        <f t="shared" si="7"/>
        <v>3.16</v>
      </c>
      <c r="K118" s="25">
        <f t="shared" si="8"/>
        <v>4.4121770478670133</v>
      </c>
      <c r="L118" s="25">
        <f t="shared" si="9"/>
        <v>1</v>
      </c>
    </row>
    <row r="119" spans="1:12" ht="15" customHeight="1" x14ac:dyDescent="0.35">
      <c r="A119" s="14">
        <v>117</v>
      </c>
      <c r="B119" s="17" t="str">
        <f>'Data Mentah'!D119</f>
        <v>Office Manager</v>
      </c>
      <c r="C119" s="18">
        <f>'Data Mentah'!A119</f>
        <v>40</v>
      </c>
      <c r="D119" s="14" t="str">
        <f>'Data Mentah'!B119</f>
        <v>Female</v>
      </c>
      <c r="E119" s="14" t="str">
        <f>'Data Mentah'!C119</f>
        <v>Bachelor's</v>
      </c>
      <c r="F119" s="19">
        <f>'Data Mentah'!E119</f>
        <v>15</v>
      </c>
      <c r="G119" s="20">
        <f>'Data Mentah'!F119</f>
        <v>65000</v>
      </c>
      <c r="H119" s="21">
        <f t="shared" si="5"/>
        <v>6.1</v>
      </c>
      <c r="I119" s="21">
        <f t="shared" si="6"/>
        <v>1</v>
      </c>
      <c r="J119" s="21">
        <f t="shared" si="7"/>
        <v>6.4</v>
      </c>
      <c r="K119" s="21">
        <f t="shared" si="8"/>
        <v>3.3306629280993389</v>
      </c>
      <c r="L119" s="21">
        <f t="shared" si="9"/>
        <v>10</v>
      </c>
    </row>
    <row r="120" spans="1:12" ht="15" customHeight="1" x14ac:dyDescent="0.35">
      <c r="A120" s="11">
        <v>118</v>
      </c>
      <c r="B120" s="8" t="str">
        <f>'Data Mentah'!D120</f>
        <v>Principal Engineer</v>
      </c>
      <c r="C120" s="22">
        <f>'Data Mentah'!A120</f>
        <v>48</v>
      </c>
      <c r="D120" s="11" t="str">
        <f>'Data Mentah'!B120</f>
        <v>Male</v>
      </c>
      <c r="E120" s="11" t="str">
        <f>'Data Mentah'!C120</f>
        <v>PhD</v>
      </c>
      <c r="F120" s="23">
        <f>'Data Mentah'!E120</f>
        <v>20</v>
      </c>
      <c r="G120" s="24">
        <f>'Data Mentah'!F120</f>
        <v>170000</v>
      </c>
      <c r="H120" s="25">
        <f t="shared" si="5"/>
        <v>8.5</v>
      </c>
      <c r="I120" s="25">
        <f t="shared" si="6"/>
        <v>10</v>
      </c>
      <c r="J120" s="25">
        <f t="shared" si="7"/>
        <v>8.1999999999999993</v>
      </c>
      <c r="K120" s="25">
        <f t="shared" si="8"/>
        <v>7.1159623472862004</v>
      </c>
      <c r="L120" s="25">
        <f t="shared" si="9"/>
        <v>1</v>
      </c>
    </row>
    <row r="121" spans="1:12" ht="15" customHeight="1" x14ac:dyDescent="0.35">
      <c r="A121" s="14">
        <v>119</v>
      </c>
      <c r="B121" s="17" t="str">
        <f>'Data Mentah'!D121</f>
        <v>Junior HR Generalist</v>
      </c>
      <c r="C121" s="18">
        <f>'Data Mentah'!A121</f>
        <v>29</v>
      </c>
      <c r="D121" s="14" t="str">
        <f>'Data Mentah'!B121</f>
        <v>Female</v>
      </c>
      <c r="E121" s="14" t="str">
        <f>'Data Mentah'!C121</f>
        <v>Bachelor's</v>
      </c>
      <c r="F121" s="19">
        <f>'Data Mentah'!E121</f>
        <v>3</v>
      </c>
      <c r="G121" s="20">
        <f>'Data Mentah'!F121</f>
        <v>45000</v>
      </c>
      <c r="H121" s="21">
        <f t="shared" si="5"/>
        <v>2.8</v>
      </c>
      <c r="I121" s="21">
        <f t="shared" si="6"/>
        <v>1</v>
      </c>
      <c r="J121" s="21">
        <f t="shared" si="7"/>
        <v>2.08</v>
      </c>
      <c r="K121" s="21">
        <f t="shared" si="8"/>
        <v>2.6096535149208893</v>
      </c>
      <c r="L121" s="21">
        <f t="shared" si="9"/>
        <v>10</v>
      </c>
    </row>
    <row r="122" spans="1:12" ht="15" customHeight="1" x14ac:dyDescent="0.35">
      <c r="A122" s="11">
        <v>120</v>
      </c>
      <c r="B122" s="8" t="str">
        <f>'Data Mentah'!D122</f>
        <v>Senior Product Manager</v>
      </c>
      <c r="C122" s="22">
        <f>'Data Mentah'!A122</f>
        <v>35</v>
      </c>
      <c r="D122" s="11" t="str">
        <f>'Data Mentah'!B122</f>
        <v>Male</v>
      </c>
      <c r="E122" s="11" t="str">
        <f>'Data Mentah'!C122</f>
        <v>Master's</v>
      </c>
      <c r="F122" s="23">
        <f>'Data Mentah'!E122</f>
        <v>10</v>
      </c>
      <c r="G122" s="24">
        <f>'Data Mentah'!F122</f>
        <v>120000</v>
      </c>
      <c r="H122" s="25">
        <f t="shared" si="5"/>
        <v>4.5999999999999996</v>
      </c>
      <c r="I122" s="25">
        <f t="shared" si="6"/>
        <v>5.5</v>
      </c>
      <c r="J122" s="25">
        <f t="shared" si="7"/>
        <v>4.5999999999999996</v>
      </c>
      <c r="K122" s="25">
        <f t="shared" si="8"/>
        <v>5.3134388143400759</v>
      </c>
      <c r="L122" s="25">
        <f t="shared" si="9"/>
        <v>1</v>
      </c>
    </row>
    <row r="123" spans="1:12" ht="15" customHeight="1" x14ac:dyDescent="0.35">
      <c r="A123" s="14">
        <v>121</v>
      </c>
      <c r="B123" s="17" t="str">
        <f>'Data Mentah'!D123</f>
        <v>Sales Manager</v>
      </c>
      <c r="C123" s="18">
        <f>'Data Mentah'!A123</f>
        <v>42</v>
      </c>
      <c r="D123" s="14" t="str">
        <f>'Data Mentah'!B123</f>
        <v>Female</v>
      </c>
      <c r="E123" s="14" t="str">
        <f>'Data Mentah'!C123</f>
        <v>Bachelor's</v>
      </c>
      <c r="F123" s="19">
        <f>'Data Mentah'!E123</f>
        <v>17</v>
      </c>
      <c r="G123" s="20">
        <f>'Data Mentah'!F123</f>
        <v>100000</v>
      </c>
      <c r="H123" s="21">
        <f t="shared" si="5"/>
        <v>6.7</v>
      </c>
      <c r="I123" s="21">
        <f t="shared" si="6"/>
        <v>1</v>
      </c>
      <c r="J123" s="21">
        <f t="shared" si="7"/>
        <v>7.12</v>
      </c>
      <c r="K123" s="21">
        <f t="shared" si="8"/>
        <v>4.5924294011616258</v>
      </c>
      <c r="L123" s="21">
        <f t="shared" si="9"/>
        <v>10</v>
      </c>
    </row>
    <row r="124" spans="1:12" ht="15" customHeight="1" x14ac:dyDescent="0.35">
      <c r="A124" s="11">
        <v>122</v>
      </c>
      <c r="B124" s="8" t="str">
        <f>'Data Mentah'!D124</f>
        <v>Director of Marketing</v>
      </c>
      <c r="C124" s="22">
        <f>'Data Mentah'!A124</f>
        <v>53</v>
      </c>
      <c r="D124" s="11" t="str">
        <f>'Data Mentah'!B124</f>
        <v>Male</v>
      </c>
      <c r="E124" s="11" t="str">
        <f>'Data Mentah'!C124</f>
        <v>Master's</v>
      </c>
      <c r="F124" s="23">
        <f>'Data Mentah'!E124</f>
        <v>25</v>
      </c>
      <c r="G124" s="24">
        <f>'Data Mentah'!F124</f>
        <v>180000</v>
      </c>
      <c r="H124" s="25">
        <f t="shared" si="5"/>
        <v>10</v>
      </c>
      <c r="I124" s="25">
        <f t="shared" si="6"/>
        <v>5.5</v>
      </c>
      <c r="J124" s="25">
        <f t="shared" si="7"/>
        <v>10</v>
      </c>
      <c r="K124" s="25">
        <f t="shared" si="8"/>
        <v>7.4764670538754254</v>
      </c>
      <c r="L124" s="25">
        <f t="shared" si="9"/>
        <v>1</v>
      </c>
    </row>
    <row r="125" spans="1:12" ht="15" customHeight="1" x14ac:dyDescent="0.35">
      <c r="A125" s="14">
        <v>123</v>
      </c>
      <c r="B125" s="17" t="str">
        <f>'Data Mentah'!D125</f>
        <v>Junior Operations Analyst</v>
      </c>
      <c r="C125" s="18">
        <f>'Data Mentah'!A125</f>
        <v>33</v>
      </c>
      <c r="D125" s="14" t="str">
        <f>'Data Mentah'!B125</f>
        <v>Female</v>
      </c>
      <c r="E125" s="14" t="str">
        <f>'Data Mentah'!C125</f>
        <v>Bachelor's</v>
      </c>
      <c r="F125" s="19">
        <f>'Data Mentah'!E125</f>
        <v>5</v>
      </c>
      <c r="G125" s="20">
        <f>'Data Mentah'!F125</f>
        <v>50000</v>
      </c>
      <c r="H125" s="21">
        <f t="shared" si="5"/>
        <v>4</v>
      </c>
      <c r="I125" s="21">
        <f t="shared" si="6"/>
        <v>1</v>
      </c>
      <c r="J125" s="21">
        <f t="shared" si="7"/>
        <v>2.8</v>
      </c>
      <c r="K125" s="21">
        <f t="shared" si="8"/>
        <v>2.7899058682155018</v>
      </c>
      <c r="L125" s="21">
        <f t="shared" si="9"/>
        <v>10</v>
      </c>
    </row>
    <row r="126" spans="1:12" ht="15" customHeight="1" x14ac:dyDescent="0.35">
      <c r="A126" s="11">
        <v>124</v>
      </c>
      <c r="B126" s="8" t="str">
        <f>'Data Mentah'!D126</f>
        <v>Customer Service Manager</v>
      </c>
      <c r="C126" s="22">
        <f>'Data Mentah'!A126</f>
        <v>38</v>
      </c>
      <c r="D126" s="11" t="str">
        <f>'Data Mentah'!B126</f>
        <v>Male</v>
      </c>
      <c r="E126" s="11" t="str">
        <f>'Data Mentah'!C126</f>
        <v>Bachelor's</v>
      </c>
      <c r="F126" s="23">
        <f>'Data Mentah'!E126</f>
        <v>11</v>
      </c>
      <c r="G126" s="24">
        <f>'Data Mentah'!F126</f>
        <v>80000</v>
      </c>
      <c r="H126" s="25">
        <f t="shared" si="5"/>
        <v>5.5</v>
      </c>
      <c r="I126" s="25">
        <f t="shared" si="6"/>
        <v>1</v>
      </c>
      <c r="J126" s="25">
        <f t="shared" si="7"/>
        <v>4.96</v>
      </c>
      <c r="K126" s="25">
        <f t="shared" si="8"/>
        <v>3.8714199879831765</v>
      </c>
      <c r="L126" s="25">
        <f t="shared" si="9"/>
        <v>1</v>
      </c>
    </row>
    <row r="127" spans="1:12" ht="15" customHeight="1" x14ac:dyDescent="0.35">
      <c r="A127" s="14">
        <v>125</v>
      </c>
      <c r="B127" s="17" t="str">
        <f>'Data Mentah'!D127</f>
        <v>Senior Scientist</v>
      </c>
      <c r="C127" s="18">
        <f>'Data Mentah'!A127</f>
        <v>44</v>
      </c>
      <c r="D127" s="14" t="str">
        <f>'Data Mentah'!B127</f>
        <v>Female</v>
      </c>
      <c r="E127" s="14" t="str">
        <f>'Data Mentah'!C127</f>
        <v>PhD</v>
      </c>
      <c r="F127" s="19">
        <f>'Data Mentah'!E127</f>
        <v>16</v>
      </c>
      <c r="G127" s="20">
        <f>'Data Mentah'!F127</f>
        <v>140000</v>
      </c>
      <c r="H127" s="21">
        <f t="shared" si="5"/>
        <v>7.3</v>
      </c>
      <c r="I127" s="21">
        <f t="shared" si="6"/>
        <v>10</v>
      </c>
      <c r="J127" s="21">
        <f t="shared" si="7"/>
        <v>6.76</v>
      </c>
      <c r="K127" s="21">
        <f t="shared" si="8"/>
        <v>6.0344482275185261</v>
      </c>
      <c r="L127" s="21">
        <f t="shared" si="9"/>
        <v>10</v>
      </c>
    </row>
    <row r="128" spans="1:12" ht="15" customHeight="1" x14ac:dyDescent="0.35">
      <c r="A128" s="11">
        <v>126</v>
      </c>
      <c r="B128" s="8" t="str">
        <f>'Data Mentah'!D128</f>
        <v>Junior Accountant</v>
      </c>
      <c r="C128" s="22">
        <f>'Data Mentah'!A128</f>
        <v>26</v>
      </c>
      <c r="D128" s="11" t="str">
        <f>'Data Mentah'!B128</f>
        <v>Male</v>
      </c>
      <c r="E128" s="11" t="str">
        <f>'Data Mentah'!C128</f>
        <v>Bachelor's</v>
      </c>
      <c r="F128" s="23">
        <f>'Data Mentah'!E128</f>
        <v>2</v>
      </c>
      <c r="G128" s="24">
        <f>'Data Mentah'!F128</f>
        <v>40000</v>
      </c>
      <c r="H128" s="25">
        <f t="shared" si="5"/>
        <v>1.9</v>
      </c>
      <c r="I128" s="25">
        <f t="shared" si="6"/>
        <v>1</v>
      </c>
      <c r="J128" s="25">
        <f t="shared" si="7"/>
        <v>1.72</v>
      </c>
      <c r="K128" s="25">
        <f t="shared" si="8"/>
        <v>2.4294011616262767</v>
      </c>
      <c r="L128" s="25">
        <f t="shared" si="9"/>
        <v>1</v>
      </c>
    </row>
    <row r="129" spans="1:12" ht="15" customHeight="1" x14ac:dyDescent="0.35">
      <c r="A129" s="14">
        <v>127</v>
      </c>
      <c r="B129" s="17" t="str">
        <f>'Data Mentah'!D129</f>
        <v>Senior HR Generalist</v>
      </c>
      <c r="C129" s="18">
        <f>'Data Mentah'!A129</f>
        <v>37</v>
      </c>
      <c r="D129" s="14" t="str">
        <f>'Data Mentah'!B129</f>
        <v>Female</v>
      </c>
      <c r="E129" s="14" t="str">
        <f>'Data Mentah'!C129</f>
        <v>Master's</v>
      </c>
      <c r="F129" s="19">
        <f>'Data Mentah'!E129</f>
        <v>9</v>
      </c>
      <c r="G129" s="20">
        <f>'Data Mentah'!F129</f>
        <v>95000</v>
      </c>
      <c r="H129" s="21">
        <f t="shared" si="5"/>
        <v>5.2</v>
      </c>
      <c r="I129" s="21">
        <f t="shared" si="6"/>
        <v>5.5</v>
      </c>
      <c r="J129" s="21">
        <f t="shared" si="7"/>
        <v>4.24</v>
      </c>
      <c r="K129" s="21">
        <f t="shared" si="8"/>
        <v>4.4121770478670133</v>
      </c>
      <c r="L129" s="21">
        <f t="shared" si="9"/>
        <v>10</v>
      </c>
    </row>
    <row r="130" spans="1:12" ht="15" customHeight="1" x14ac:dyDescent="0.35">
      <c r="A130" s="11">
        <v>128</v>
      </c>
      <c r="B130" s="8" t="str">
        <f>'Data Mentah'!D130</f>
        <v>Sales Operations Manager</v>
      </c>
      <c r="C130" s="22">
        <f>'Data Mentah'!A130</f>
        <v>45</v>
      </c>
      <c r="D130" s="11" t="str">
        <f>'Data Mentah'!B130</f>
        <v>Male</v>
      </c>
      <c r="E130" s="11" t="str">
        <f>'Data Mentah'!C130</f>
        <v>Bachelor's</v>
      </c>
      <c r="F130" s="23">
        <f>'Data Mentah'!E130</f>
        <v>18</v>
      </c>
      <c r="G130" s="24">
        <f>'Data Mentah'!F130</f>
        <v>110000</v>
      </c>
      <c r="H130" s="25">
        <f t="shared" si="5"/>
        <v>7.6</v>
      </c>
      <c r="I130" s="25">
        <f t="shared" si="6"/>
        <v>1</v>
      </c>
      <c r="J130" s="25">
        <f t="shared" si="7"/>
        <v>7.48</v>
      </c>
      <c r="K130" s="25">
        <f t="shared" si="8"/>
        <v>4.9529341077508509</v>
      </c>
      <c r="L130" s="25">
        <f t="shared" si="9"/>
        <v>1</v>
      </c>
    </row>
    <row r="131" spans="1:12" ht="15" customHeight="1" x14ac:dyDescent="0.35">
      <c r="A131" s="14">
        <v>129</v>
      </c>
      <c r="B131" s="17" t="str">
        <f>'Data Mentah'!D131</f>
        <v>Marketing Coordinator</v>
      </c>
      <c r="C131" s="18">
        <f>'Data Mentah'!A131</f>
        <v>32</v>
      </c>
      <c r="D131" s="14" t="str">
        <f>'Data Mentah'!B131</f>
        <v>Female</v>
      </c>
      <c r="E131" s="14" t="str">
        <f>'Data Mentah'!C131</f>
        <v>Bachelor's</v>
      </c>
      <c r="F131" s="19">
        <f>'Data Mentah'!E131</f>
        <v>4</v>
      </c>
      <c r="G131" s="20">
        <f>'Data Mentah'!F131</f>
        <v>50000</v>
      </c>
      <c r="H131" s="21">
        <f t="shared" ref="H131:H194" si="10">IF(MAX($C$3:$C$375)=MIN($C$3:$C$375),5,1+9*(C131-MIN($C$3:$C$375))/(MAX($C$3:$C$375)-MIN($C$3:$C$375)))</f>
        <v>3.7</v>
      </c>
      <c r="I131" s="21">
        <f t="shared" ref="I131:I194" si="11">1+9*(IF(E131="PhD",3,IF(E131="Master's",2,1))-1)/(3-1)</f>
        <v>1</v>
      </c>
      <c r="J131" s="21">
        <f t="shared" ref="J131:J194" si="12">IF(MAX($F$3:$F$375)=MIN($F$3:$F$375),5,1+9*(F131-MIN($F$3:$F$375))/(MAX($F$3:$F$375)-MIN($F$3:$F$375)))</f>
        <v>2.44</v>
      </c>
      <c r="K131" s="21">
        <f t="shared" ref="K131:K194" si="13">IF(MAX($G$3:$G$375)=MIN($G$3:$G$375),5,1+9*(G131-MIN($G$3:$G$375))/(MAX($G$3:$G$375)-MIN($G$3:$G$375)))</f>
        <v>2.7899058682155018</v>
      </c>
      <c r="L131" s="21">
        <f t="shared" ref="L131:L194" si="14">1+9*(IF(D131="Female",2,IF(D131="Male",1,1.5))-1)/(2-1)</f>
        <v>10</v>
      </c>
    </row>
    <row r="132" spans="1:12" ht="15" customHeight="1" x14ac:dyDescent="0.35">
      <c r="A132" s="11">
        <v>130</v>
      </c>
      <c r="B132" s="8" t="str">
        <f>'Data Mentah'!D132</f>
        <v>Senior Software Developer</v>
      </c>
      <c r="C132" s="22">
        <f>'Data Mentah'!A132</f>
        <v>34</v>
      </c>
      <c r="D132" s="11" t="str">
        <f>'Data Mentah'!B132</f>
        <v>Male</v>
      </c>
      <c r="E132" s="11" t="str">
        <f>'Data Mentah'!C132</f>
        <v>Master's</v>
      </c>
      <c r="F132" s="23">
        <f>'Data Mentah'!E132</f>
        <v>8</v>
      </c>
      <c r="G132" s="24">
        <f>'Data Mentah'!F132</f>
        <v>105000</v>
      </c>
      <c r="H132" s="25">
        <f t="shared" si="10"/>
        <v>4.3</v>
      </c>
      <c r="I132" s="25">
        <f t="shared" si="11"/>
        <v>5.5</v>
      </c>
      <c r="J132" s="25">
        <f t="shared" si="12"/>
        <v>3.88</v>
      </c>
      <c r="K132" s="25">
        <f t="shared" si="13"/>
        <v>4.7726817544562383</v>
      </c>
      <c r="L132" s="25">
        <f t="shared" si="14"/>
        <v>1</v>
      </c>
    </row>
    <row r="133" spans="1:12" ht="15" customHeight="1" x14ac:dyDescent="0.35">
      <c r="A133" s="14">
        <v>131</v>
      </c>
      <c r="B133" s="17" t="str">
        <f>'Data Mentah'!D133</f>
        <v>Director of Operations</v>
      </c>
      <c r="C133" s="18">
        <f>'Data Mentah'!A133</f>
        <v>50</v>
      </c>
      <c r="D133" s="14" t="str">
        <f>'Data Mentah'!B133</f>
        <v>Female</v>
      </c>
      <c r="E133" s="14" t="str">
        <f>'Data Mentah'!C133</f>
        <v>Master's</v>
      </c>
      <c r="F133" s="19">
        <f>'Data Mentah'!E133</f>
        <v>21</v>
      </c>
      <c r="G133" s="20">
        <f>'Data Mentah'!F133</f>
        <v>160000</v>
      </c>
      <c r="H133" s="21">
        <f t="shared" si="10"/>
        <v>9.1</v>
      </c>
      <c r="I133" s="21">
        <f t="shared" si="11"/>
        <v>5.5</v>
      </c>
      <c r="J133" s="21">
        <f t="shared" si="12"/>
        <v>8.5599999999999987</v>
      </c>
      <c r="K133" s="21">
        <f t="shared" si="13"/>
        <v>6.7554576406969762</v>
      </c>
      <c r="L133" s="21">
        <f t="shared" si="14"/>
        <v>10</v>
      </c>
    </row>
    <row r="134" spans="1:12" ht="15" customHeight="1" x14ac:dyDescent="0.35">
      <c r="A134" s="11">
        <v>132</v>
      </c>
      <c r="B134" s="8" t="str">
        <f>'Data Mentah'!D134</f>
        <v>Junior Web Designer</v>
      </c>
      <c r="C134" s="22">
        <f>'Data Mentah'!A134</f>
        <v>29</v>
      </c>
      <c r="D134" s="11" t="str">
        <f>'Data Mentah'!B134</f>
        <v>Male</v>
      </c>
      <c r="E134" s="11" t="str">
        <f>'Data Mentah'!C134</f>
        <v>Bachelor's</v>
      </c>
      <c r="F134" s="23">
        <f>'Data Mentah'!E134</f>
        <v>3</v>
      </c>
      <c r="G134" s="24">
        <f>'Data Mentah'!F134</f>
        <v>45000</v>
      </c>
      <c r="H134" s="25">
        <f t="shared" si="10"/>
        <v>2.8</v>
      </c>
      <c r="I134" s="25">
        <f t="shared" si="11"/>
        <v>1</v>
      </c>
      <c r="J134" s="25">
        <f t="shared" si="12"/>
        <v>2.08</v>
      </c>
      <c r="K134" s="25">
        <f t="shared" si="13"/>
        <v>2.6096535149208893</v>
      </c>
      <c r="L134" s="25">
        <f t="shared" si="14"/>
        <v>1</v>
      </c>
    </row>
    <row r="135" spans="1:12" ht="15" customHeight="1" x14ac:dyDescent="0.35">
      <c r="A135" s="14">
        <v>133</v>
      </c>
      <c r="B135" s="17" t="str">
        <f>'Data Mentah'!D135</f>
        <v>Senior Training Specialist</v>
      </c>
      <c r="C135" s="18">
        <f>'Data Mentah'!A135</f>
        <v>40</v>
      </c>
      <c r="D135" s="14" t="str">
        <f>'Data Mentah'!B135</f>
        <v>Female</v>
      </c>
      <c r="E135" s="14" t="str">
        <f>'Data Mentah'!C135</f>
        <v>Master's</v>
      </c>
      <c r="F135" s="19">
        <f>'Data Mentah'!E135</f>
        <v>12</v>
      </c>
      <c r="G135" s="20">
        <f>'Data Mentah'!F135</f>
        <v>100000</v>
      </c>
      <c r="H135" s="21">
        <f t="shared" si="10"/>
        <v>6.1</v>
      </c>
      <c r="I135" s="21">
        <f t="shared" si="11"/>
        <v>5.5</v>
      </c>
      <c r="J135" s="21">
        <f t="shared" si="12"/>
        <v>5.32</v>
      </c>
      <c r="K135" s="21">
        <f t="shared" si="13"/>
        <v>4.5924294011616258</v>
      </c>
      <c r="L135" s="21">
        <f t="shared" si="14"/>
        <v>10</v>
      </c>
    </row>
    <row r="136" spans="1:12" ht="15" customHeight="1" x14ac:dyDescent="0.35">
      <c r="A136" s="11">
        <v>134</v>
      </c>
      <c r="B136" s="8" t="str">
        <f>'Data Mentah'!D136</f>
        <v>Senior Research Scientist</v>
      </c>
      <c r="C136" s="22">
        <f>'Data Mentah'!A136</f>
        <v>47</v>
      </c>
      <c r="D136" s="11" t="str">
        <f>'Data Mentah'!B136</f>
        <v>Male</v>
      </c>
      <c r="E136" s="11" t="str">
        <f>'Data Mentah'!C136</f>
        <v>PhD</v>
      </c>
      <c r="F136" s="23">
        <f>'Data Mentah'!E136</f>
        <v>22</v>
      </c>
      <c r="G136" s="24">
        <f>'Data Mentah'!F136</f>
        <v>160000</v>
      </c>
      <c r="H136" s="25">
        <f t="shared" si="10"/>
        <v>8.1999999999999993</v>
      </c>
      <c r="I136" s="25">
        <f t="shared" si="11"/>
        <v>10</v>
      </c>
      <c r="J136" s="25">
        <f t="shared" si="12"/>
        <v>8.92</v>
      </c>
      <c r="K136" s="25">
        <f t="shared" si="13"/>
        <v>6.7554576406969762</v>
      </c>
      <c r="L136" s="25">
        <f t="shared" si="14"/>
        <v>1</v>
      </c>
    </row>
    <row r="137" spans="1:12" ht="15" customHeight="1" x14ac:dyDescent="0.35">
      <c r="A137" s="14">
        <v>135</v>
      </c>
      <c r="B137" s="17" t="str">
        <f>'Data Mentah'!D137</f>
        <v>Junior Sales Representative</v>
      </c>
      <c r="C137" s="18">
        <f>'Data Mentah'!A137</f>
        <v>27</v>
      </c>
      <c r="D137" s="14" t="str">
        <f>'Data Mentah'!B137</f>
        <v>Male</v>
      </c>
      <c r="E137" s="14" t="str">
        <f>'Data Mentah'!C137</f>
        <v>Bachelor's</v>
      </c>
      <c r="F137" s="19">
        <f>'Data Mentah'!E137</f>
        <v>1</v>
      </c>
      <c r="G137" s="20">
        <f>'Data Mentah'!F137</f>
        <v>35000</v>
      </c>
      <c r="H137" s="21">
        <f t="shared" si="10"/>
        <v>2.2000000000000002</v>
      </c>
      <c r="I137" s="21">
        <f t="shared" si="11"/>
        <v>1</v>
      </c>
      <c r="J137" s="21">
        <f t="shared" si="12"/>
        <v>1.3599999999999999</v>
      </c>
      <c r="K137" s="21">
        <f t="shared" si="13"/>
        <v>2.2491488083316646</v>
      </c>
      <c r="L137" s="21">
        <f t="shared" si="14"/>
        <v>1</v>
      </c>
    </row>
    <row r="138" spans="1:12" ht="15" customHeight="1" x14ac:dyDescent="0.35">
      <c r="A138" s="11">
        <v>136</v>
      </c>
      <c r="B138" s="8" t="str">
        <f>'Data Mentah'!D138</f>
        <v>Administrative Assistant</v>
      </c>
      <c r="C138" s="22">
        <f>'Data Mentah'!A138</f>
        <v>39</v>
      </c>
      <c r="D138" s="11" t="str">
        <f>'Data Mentah'!B138</f>
        <v>Female</v>
      </c>
      <c r="E138" s="11" t="str">
        <f>'Data Mentah'!C138</f>
        <v>Bachelor's</v>
      </c>
      <c r="F138" s="23">
        <f>'Data Mentah'!E138</f>
        <v>10</v>
      </c>
      <c r="G138" s="24">
        <f>'Data Mentah'!F138</f>
        <v>55000</v>
      </c>
      <c r="H138" s="25">
        <f t="shared" si="10"/>
        <v>5.8</v>
      </c>
      <c r="I138" s="25">
        <f t="shared" si="11"/>
        <v>1</v>
      </c>
      <c r="J138" s="25">
        <f t="shared" si="12"/>
        <v>4.5999999999999996</v>
      </c>
      <c r="K138" s="25">
        <f t="shared" si="13"/>
        <v>2.9701582215101139</v>
      </c>
      <c r="L138" s="25">
        <f t="shared" si="14"/>
        <v>10</v>
      </c>
    </row>
    <row r="139" spans="1:12" ht="15" customHeight="1" x14ac:dyDescent="0.35">
      <c r="A139" s="14">
        <v>137</v>
      </c>
      <c r="B139" s="17" t="str">
        <f>'Data Mentah'!D139</f>
        <v>Senior Project Manager</v>
      </c>
      <c r="C139" s="18">
        <f>'Data Mentah'!A139</f>
        <v>46</v>
      </c>
      <c r="D139" s="14" t="str">
        <f>'Data Mentah'!B139</f>
        <v>Male</v>
      </c>
      <c r="E139" s="14" t="str">
        <f>'Data Mentah'!C139</f>
        <v>Master's</v>
      </c>
      <c r="F139" s="19">
        <f>'Data Mentah'!E139</f>
        <v>19</v>
      </c>
      <c r="G139" s="20">
        <f>'Data Mentah'!F139</f>
        <v>140000</v>
      </c>
      <c r="H139" s="21">
        <f t="shared" si="10"/>
        <v>7.9</v>
      </c>
      <c r="I139" s="21">
        <f t="shared" si="11"/>
        <v>5.5</v>
      </c>
      <c r="J139" s="21">
        <f t="shared" si="12"/>
        <v>7.84</v>
      </c>
      <c r="K139" s="21">
        <f t="shared" si="13"/>
        <v>6.0344482275185261</v>
      </c>
      <c r="L139" s="21">
        <f t="shared" si="14"/>
        <v>1</v>
      </c>
    </row>
    <row r="140" spans="1:12" ht="15" customHeight="1" x14ac:dyDescent="0.35">
      <c r="A140" s="11">
        <v>138</v>
      </c>
      <c r="B140" s="8" t="str">
        <f>'Data Mentah'!D140</f>
        <v>Junior Marketing Manager</v>
      </c>
      <c r="C140" s="22">
        <f>'Data Mentah'!A140</f>
        <v>30</v>
      </c>
      <c r="D140" s="11" t="str">
        <f>'Data Mentah'!B140</f>
        <v>Female</v>
      </c>
      <c r="E140" s="11" t="str">
        <f>'Data Mentah'!C140</f>
        <v>Bachelor's</v>
      </c>
      <c r="F140" s="23">
        <f>'Data Mentah'!E140</f>
        <v>4</v>
      </c>
      <c r="G140" s="24">
        <f>'Data Mentah'!F140</f>
        <v>50000</v>
      </c>
      <c r="H140" s="25">
        <f t="shared" si="10"/>
        <v>3.1</v>
      </c>
      <c r="I140" s="25">
        <f t="shared" si="11"/>
        <v>1</v>
      </c>
      <c r="J140" s="25">
        <f t="shared" si="12"/>
        <v>2.44</v>
      </c>
      <c r="K140" s="25">
        <f t="shared" si="13"/>
        <v>2.7899058682155018</v>
      </c>
      <c r="L140" s="25">
        <f t="shared" si="14"/>
        <v>10</v>
      </c>
    </row>
    <row r="141" spans="1:12" ht="15" customHeight="1" x14ac:dyDescent="0.35">
      <c r="A141" s="14">
        <v>139</v>
      </c>
      <c r="B141" s="17" t="str">
        <f>'Data Mentah'!D141</f>
        <v>Junior Data Analyst</v>
      </c>
      <c r="C141" s="18">
        <f>'Data Mentah'!A141</f>
        <v>36</v>
      </c>
      <c r="D141" s="14" t="str">
        <f>'Data Mentah'!B141</f>
        <v>Male</v>
      </c>
      <c r="E141" s="14" t="str">
        <f>'Data Mentah'!C141</f>
        <v>Bachelor's</v>
      </c>
      <c r="F141" s="19">
        <f>'Data Mentah'!E141</f>
        <v>7</v>
      </c>
      <c r="G141" s="20">
        <f>'Data Mentah'!F141</f>
        <v>60000</v>
      </c>
      <c r="H141" s="21">
        <f t="shared" si="10"/>
        <v>4.9000000000000004</v>
      </c>
      <c r="I141" s="21">
        <f t="shared" si="11"/>
        <v>1</v>
      </c>
      <c r="J141" s="21">
        <f t="shared" si="12"/>
        <v>3.52</v>
      </c>
      <c r="K141" s="21">
        <f t="shared" si="13"/>
        <v>3.1504105748047264</v>
      </c>
      <c r="L141" s="21">
        <f t="shared" si="14"/>
        <v>1</v>
      </c>
    </row>
    <row r="142" spans="1:12" ht="15" customHeight="1" x14ac:dyDescent="0.35">
      <c r="A142" s="11">
        <v>140</v>
      </c>
      <c r="B142" s="8" t="str">
        <f>'Data Mentah'!D142</f>
        <v>Senior Product Marketing Manager</v>
      </c>
      <c r="C142" s="22">
        <f>'Data Mentah'!A142</f>
        <v>43</v>
      </c>
      <c r="D142" s="11" t="str">
        <f>'Data Mentah'!B142</f>
        <v>Female</v>
      </c>
      <c r="E142" s="11" t="str">
        <f>'Data Mentah'!C142</f>
        <v>Master's</v>
      </c>
      <c r="F142" s="23">
        <f>'Data Mentah'!E142</f>
        <v>14</v>
      </c>
      <c r="G142" s="24">
        <f>'Data Mentah'!F142</f>
        <v>120000</v>
      </c>
      <c r="H142" s="25">
        <f t="shared" si="10"/>
        <v>7</v>
      </c>
      <c r="I142" s="25">
        <f t="shared" si="11"/>
        <v>5.5</v>
      </c>
      <c r="J142" s="25">
        <f t="shared" si="12"/>
        <v>6.04</v>
      </c>
      <c r="K142" s="25">
        <f t="shared" si="13"/>
        <v>5.3134388143400759</v>
      </c>
      <c r="L142" s="25">
        <f t="shared" si="14"/>
        <v>10</v>
      </c>
    </row>
    <row r="143" spans="1:12" ht="15" customHeight="1" x14ac:dyDescent="0.35">
      <c r="A143" s="14">
        <v>141</v>
      </c>
      <c r="B143" s="17" t="str">
        <f>'Data Mentah'!D143</f>
        <v>Junior Business Analyst</v>
      </c>
      <c r="C143" s="18">
        <f>'Data Mentah'!A143</f>
        <v>28</v>
      </c>
      <c r="D143" s="14" t="str">
        <f>'Data Mentah'!B143</f>
        <v>Male</v>
      </c>
      <c r="E143" s="14" t="str">
        <f>'Data Mentah'!C143</f>
        <v>Bachelor's</v>
      </c>
      <c r="F143" s="19">
        <f>'Data Mentah'!E143</f>
        <v>2</v>
      </c>
      <c r="G143" s="20">
        <f>'Data Mentah'!F143</f>
        <v>40000</v>
      </c>
      <c r="H143" s="21">
        <f t="shared" si="10"/>
        <v>2.5</v>
      </c>
      <c r="I143" s="21">
        <f t="shared" si="11"/>
        <v>1</v>
      </c>
      <c r="J143" s="21">
        <f t="shared" si="12"/>
        <v>1.72</v>
      </c>
      <c r="K143" s="21">
        <f t="shared" si="13"/>
        <v>2.4294011616262767</v>
      </c>
      <c r="L143" s="21">
        <f t="shared" si="14"/>
        <v>1</v>
      </c>
    </row>
    <row r="144" spans="1:12" ht="15" customHeight="1" x14ac:dyDescent="0.35">
      <c r="A144" s="11">
        <v>142</v>
      </c>
      <c r="B144" s="8" t="str">
        <f>'Data Mentah'!D144</f>
        <v>Senior Marketing Manager</v>
      </c>
      <c r="C144" s="22">
        <f>'Data Mentah'!A144</f>
        <v>41</v>
      </c>
      <c r="D144" s="11" t="str">
        <f>'Data Mentah'!B144</f>
        <v>Female</v>
      </c>
      <c r="E144" s="11" t="str">
        <f>'Data Mentah'!C144</f>
        <v>Master's</v>
      </c>
      <c r="F144" s="23">
        <f>'Data Mentah'!E144</f>
        <v>13</v>
      </c>
      <c r="G144" s="24">
        <f>'Data Mentah'!F144</f>
        <v>110000</v>
      </c>
      <c r="H144" s="25">
        <f t="shared" si="10"/>
        <v>6.4</v>
      </c>
      <c r="I144" s="25">
        <f t="shared" si="11"/>
        <v>5.5</v>
      </c>
      <c r="J144" s="25">
        <f t="shared" si="12"/>
        <v>5.68</v>
      </c>
      <c r="K144" s="25">
        <f t="shared" si="13"/>
        <v>4.9529341077508509</v>
      </c>
      <c r="L144" s="25">
        <f t="shared" si="14"/>
        <v>10</v>
      </c>
    </row>
    <row r="145" spans="1:12" ht="15" customHeight="1" x14ac:dyDescent="0.35">
      <c r="A145" s="14">
        <v>143</v>
      </c>
      <c r="B145" s="17" t="str">
        <f>'Data Mentah'!D145</f>
        <v>Junior Software Developer</v>
      </c>
      <c r="C145" s="18">
        <f>'Data Mentah'!A145</f>
        <v>33</v>
      </c>
      <c r="D145" s="14" t="str">
        <f>'Data Mentah'!B145</f>
        <v>Male</v>
      </c>
      <c r="E145" s="14" t="str">
        <f>'Data Mentah'!C145</f>
        <v>Bachelor's</v>
      </c>
      <c r="F145" s="19">
        <f>'Data Mentah'!E145</f>
        <v>5</v>
      </c>
      <c r="G145" s="20">
        <f>'Data Mentah'!F145</f>
        <v>50000</v>
      </c>
      <c r="H145" s="21">
        <f t="shared" si="10"/>
        <v>4</v>
      </c>
      <c r="I145" s="21">
        <f t="shared" si="11"/>
        <v>1</v>
      </c>
      <c r="J145" s="21">
        <f t="shared" si="12"/>
        <v>2.8</v>
      </c>
      <c r="K145" s="21">
        <f t="shared" si="13"/>
        <v>2.7899058682155018</v>
      </c>
      <c r="L145" s="21">
        <f t="shared" si="14"/>
        <v>1</v>
      </c>
    </row>
    <row r="146" spans="1:12" ht="15" customHeight="1" x14ac:dyDescent="0.35">
      <c r="A146" s="11">
        <v>144</v>
      </c>
      <c r="B146" s="8" t="str">
        <f>'Data Mentah'!D146</f>
        <v>Senior Sales Manager</v>
      </c>
      <c r="C146" s="22">
        <f>'Data Mentah'!A146</f>
        <v>47</v>
      </c>
      <c r="D146" s="11" t="str">
        <f>'Data Mentah'!B146</f>
        <v>Male</v>
      </c>
      <c r="E146" s="11" t="str">
        <f>'Data Mentah'!C146</f>
        <v>Bachelor's</v>
      </c>
      <c r="F146" s="23">
        <f>'Data Mentah'!E146</f>
        <v>20</v>
      </c>
      <c r="G146" s="24">
        <f>'Data Mentah'!F146</f>
        <v>135000</v>
      </c>
      <c r="H146" s="25">
        <f t="shared" si="10"/>
        <v>8.1999999999999993</v>
      </c>
      <c r="I146" s="25">
        <f t="shared" si="11"/>
        <v>1</v>
      </c>
      <c r="J146" s="25">
        <f t="shared" si="12"/>
        <v>8.1999999999999993</v>
      </c>
      <c r="K146" s="25">
        <f t="shared" si="13"/>
        <v>5.8541958742239135</v>
      </c>
      <c r="L146" s="25">
        <f t="shared" si="14"/>
        <v>1</v>
      </c>
    </row>
    <row r="147" spans="1:12" ht="15" customHeight="1" x14ac:dyDescent="0.35">
      <c r="A147" s="14">
        <v>145</v>
      </c>
      <c r="B147" s="17" t="str">
        <f>'Data Mentah'!D147</f>
        <v>Junior Marketing Specialist</v>
      </c>
      <c r="C147" s="18">
        <f>'Data Mentah'!A147</f>
        <v>25</v>
      </c>
      <c r="D147" s="14" t="str">
        <f>'Data Mentah'!B147</f>
        <v>Female</v>
      </c>
      <c r="E147" s="14" t="str">
        <f>'Data Mentah'!C147</f>
        <v>Master's</v>
      </c>
      <c r="F147" s="19">
        <f>'Data Mentah'!E147</f>
        <v>1.5</v>
      </c>
      <c r="G147" s="20">
        <f>'Data Mentah'!F147</f>
        <v>40000</v>
      </c>
      <c r="H147" s="21">
        <f t="shared" si="10"/>
        <v>1.6</v>
      </c>
      <c r="I147" s="21">
        <f t="shared" si="11"/>
        <v>5.5</v>
      </c>
      <c r="J147" s="21">
        <f t="shared" si="12"/>
        <v>1.54</v>
      </c>
      <c r="K147" s="21">
        <f t="shared" si="13"/>
        <v>2.4294011616262767</v>
      </c>
      <c r="L147" s="21">
        <f t="shared" si="14"/>
        <v>10</v>
      </c>
    </row>
    <row r="148" spans="1:12" ht="15" customHeight="1" x14ac:dyDescent="0.35">
      <c r="A148" s="11">
        <v>146</v>
      </c>
      <c r="B148" s="8" t="str">
        <f>'Data Mentah'!D148</f>
        <v>Senior Business Analyst</v>
      </c>
      <c r="C148" s="22">
        <f>'Data Mentah'!A148</f>
        <v>34</v>
      </c>
      <c r="D148" s="11" t="str">
        <f>'Data Mentah'!B148</f>
        <v>Male</v>
      </c>
      <c r="E148" s="11" t="str">
        <f>'Data Mentah'!C148</f>
        <v>Bachelor's</v>
      </c>
      <c r="F148" s="23">
        <f>'Data Mentah'!E148</f>
        <v>8</v>
      </c>
      <c r="G148" s="24">
        <f>'Data Mentah'!F148</f>
        <v>90000</v>
      </c>
      <c r="H148" s="25">
        <f t="shared" si="10"/>
        <v>4.3</v>
      </c>
      <c r="I148" s="25">
        <f t="shared" si="11"/>
        <v>1</v>
      </c>
      <c r="J148" s="25">
        <f t="shared" si="12"/>
        <v>3.88</v>
      </c>
      <c r="K148" s="25">
        <f t="shared" si="13"/>
        <v>4.2319246945724007</v>
      </c>
      <c r="L148" s="25">
        <f t="shared" si="14"/>
        <v>1</v>
      </c>
    </row>
    <row r="149" spans="1:12" ht="15" customHeight="1" x14ac:dyDescent="0.35">
      <c r="A149" s="14">
        <v>147</v>
      </c>
      <c r="B149" s="17" t="str">
        <f>'Data Mentah'!D149</f>
        <v>Senior Data Scientist</v>
      </c>
      <c r="C149" s="18">
        <f>'Data Mentah'!A149</f>
        <v>42</v>
      </c>
      <c r="D149" s="14" t="str">
        <f>'Data Mentah'!B149</f>
        <v>Female</v>
      </c>
      <c r="E149" s="14" t="str">
        <f>'Data Mentah'!C149</f>
        <v>PhD</v>
      </c>
      <c r="F149" s="19">
        <f>'Data Mentah'!E149</f>
        <v>16</v>
      </c>
      <c r="G149" s="20">
        <f>'Data Mentah'!F149</f>
        <v>150000</v>
      </c>
      <c r="H149" s="21">
        <f t="shared" si="10"/>
        <v>6.7</v>
      </c>
      <c r="I149" s="21">
        <f t="shared" si="11"/>
        <v>10</v>
      </c>
      <c r="J149" s="21">
        <f t="shared" si="12"/>
        <v>6.76</v>
      </c>
      <c r="K149" s="21">
        <f t="shared" si="13"/>
        <v>6.3949529341077511</v>
      </c>
      <c r="L149" s="21">
        <f t="shared" si="14"/>
        <v>10</v>
      </c>
    </row>
    <row r="150" spans="1:12" ht="15" customHeight="1" x14ac:dyDescent="0.35">
      <c r="A150" s="11">
        <v>148</v>
      </c>
      <c r="B150" s="8" t="str">
        <f>'Data Mentah'!D150</f>
        <v>Junior Project Manager</v>
      </c>
      <c r="C150" s="22">
        <f>'Data Mentah'!A150</f>
        <v>31</v>
      </c>
      <c r="D150" s="11" t="str">
        <f>'Data Mentah'!B150</f>
        <v>Male</v>
      </c>
      <c r="E150" s="11" t="str">
        <f>'Data Mentah'!C150</f>
        <v>Bachelor's</v>
      </c>
      <c r="F150" s="23">
        <f>'Data Mentah'!E150</f>
        <v>4</v>
      </c>
      <c r="G150" s="24">
        <f>'Data Mentah'!F150</f>
        <v>60000</v>
      </c>
      <c r="H150" s="25">
        <f t="shared" si="10"/>
        <v>3.4</v>
      </c>
      <c r="I150" s="25">
        <f t="shared" si="11"/>
        <v>1</v>
      </c>
      <c r="J150" s="25">
        <f t="shared" si="12"/>
        <v>2.44</v>
      </c>
      <c r="K150" s="25">
        <f t="shared" si="13"/>
        <v>3.1504105748047264</v>
      </c>
      <c r="L150" s="25">
        <f t="shared" si="14"/>
        <v>1</v>
      </c>
    </row>
    <row r="151" spans="1:12" ht="15" customHeight="1" x14ac:dyDescent="0.35">
      <c r="A151" s="14">
        <v>149</v>
      </c>
      <c r="B151" s="17" t="str">
        <f>'Data Mentah'!D151</f>
        <v>Senior Accountant</v>
      </c>
      <c r="C151" s="18">
        <f>'Data Mentah'!A151</f>
        <v>38</v>
      </c>
      <c r="D151" s="14" t="str">
        <f>'Data Mentah'!B151</f>
        <v>Female</v>
      </c>
      <c r="E151" s="14" t="str">
        <f>'Data Mentah'!C151</f>
        <v>Bachelor's</v>
      </c>
      <c r="F151" s="19">
        <f>'Data Mentah'!E151</f>
        <v>10</v>
      </c>
      <c r="G151" s="20">
        <f>'Data Mentah'!F151</f>
        <v>80000</v>
      </c>
      <c r="H151" s="21">
        <f t="shared" si="10"/>
        <v>5.5</v>
      </c>
      <c r="I151" s="21">
        <f t="shared" si="11"/>
        <v>1</v>
      </c>
      <c r="J151" s="21">
        <f t="shared" si="12"/>
        <v>4.5999999999999996</v>
      </c>
      <c r="K151" s="21">
        <f t="shared" si="13"/>
        <v>3.8714199879831765</v>
      </c>
      <c r="L151" s="21">
        <f t="shared" si="14"/>
        <v>10</v>
      </c>
    </row>
    <row r="152" spans="1:12" ht="15" customHeight="1" x14ac:dyDescent="0.35">
      <c r="A152" s="11">
        <v>150</v>
      </c>
      <c r="B152" s="8" t="str">
        <f>'Data Mentah'!D152</f>
        <v>Director of Sales</v>
      </c>
      <c r="C152" s="22">
        <f>'Data Mentah'!A152</f>
        <v>45</v>
      </c>
      <c r="D152" s="11" t="str">
        <f>'Data Mentah'!B152</f>
        <v>Male</v>
      </c>
      <c r="E152" s="11" t="str">
        <f>'Data Mentah'!C152</f>
        <v>Master's</v>
      </c>
      <c r="F152" s="23">
        <f>'Data Mentah'!E152</f>
        <v>19</v>
      </c>
      <c r="G152" s="24">
        <f>'Data Mentah'!F152</f>
        <v>175000</v>
      </c>
      <c r="H152" s="25">
        <f t="shared" si="10"/>
        <v>7.6</v>
      </c>
      <c r="I152" s="25">
        <f t="shared" si="11"/>
        <v>5.5</v>
      </c>
      <c r="J152" s="25">
        <f t="shared" si="12"/>
        <v>7.84</v>
      </c>
      <c r="K152" s="25">
        <f t="shared" si="13"/>
        <v>7.2962147005808129</v>
      </c>
      <c r="L152" s="25">
        <f t="shared" si="14"/>
        <v>1</v>
      </c>
    </row>
    <row r="153" spans="1:12" ht="15" customHeight="1" x14ac:dyDescent="0.35">
      <c r="A153" s="14">
        <v>151</v>
      </c>
      <c r="B153" s="17" t="str">
        <f>'Data Mentah'!D153</f>
        <v>Junior Recruiter</v>
      </c>
      <c r="C153" s="18">
        <f>'Data Mentah'!A153</f>
        <v>29</v>
      </c>
      <c r="D153" s="14" t="str">
        <f>'Data Mentah'!B153</f>
        <v>Female</v>
      </c>
      <c r="E153" s="14" t="str">
        <f>'Data Mentah'!C153</f>
        <v>Bachelor's</v>
      </c>
      <c r="F153" s="19">
        <f>'Data Mentah'!E153</f>
        <v>3</v>
      </c>
      <c r="G153" s="20">
        <f>'Data Mentah'!F153</f>
        <v>45000</v>
      </c>
      <c r="H153" s="21">
        <f t="shared" si="10"/>
        <v>2.8</v>
      </c>
      <c r="I153" s="21">
        <f t="shared" si="11"/>
        <v>1</v>
      </c>
      <c r="J153" s="21">
        <f t="shared" si="12"/>
        <v>2.08</v>
      </c>
      <c r="K153" s="21">
        <f t="shared" si="13"/>
        <v>2.6096535149208893</v>
      </c>
      <c r="L153" s="21">
        <f t="shared" si="14"/>
        <v>10</v>
      </c>
    </row>
    <row r="154" spans="1:12" ht="15" customHeight="1" x14ac:dyDescent="0.35">
      <c r="A154" s="11">
        <v>152</v>
      </c>
      <c r="B154" s="8" t="str">
        <f>'Data Mentah'!D154</f>
        <v>Senior Business Development Manager</v>
      </c>
      <c r="C154" s="22">
        <f>'Data Mentah'!A154</f>
        <v>36</v>
      </c>
      <c r="D154" s="11" t="str">
        <f>'Data Mentah'!B154</f>
        <v>Male</v>
      </c>
      <c r="E154" s="11" t="str">
        <f>'Data Mentah'!C154</f>
        <v>Master's</v>
      </c>
      <c r="F154" s="23">
        <f>'Data Mentah'!E154</f>
        <v>11</v>
      </c>
      <c r="G154" s="24">
        <f>'Data Mentah'!F154</f>
        <v>120000</v>
      </c>
      <c r="H154" s="25">
        <f t="shared" si="10"/>
        <v>4.9000000000000004</v>
      </c>
      <c r="I154" s="25">
        <f t="shared" si="11"/>
        <v>5.5</v>
      </c>
      <c r="J154" s="25">
        <f t="shared" si="12"/>
        <v>4.96</v>
      </c>
      <c r="K154" s="25">
        <f t="shared" si="13"/>
        <v>5.3134388143400759</v>
      </c>
      <c r="L154" s="25">
        <f t="shared" si="14"/>
        <v>1</v>
      </c>
    </row>
    <row r="155" spans="1:12" ht="15" customHeight="1" x14ac:dyDescent="0.35">
      <c r="A155" s="14">
        <v>153</v>
      </c>
      <c r="B155" s="17" t="str">
        <f>'Data Mentah'!D155</f>
        <v>Senior Product Designer</v>
      </c>
      <c r="C155" s="18">
        <f>'Data Mentah'!A155</f>
        <v>43</v>
      </c>
      <c r="D155" s="14" t="str">
        <f>'Data Mentah'!B155</f>
        <v>Female</v>
      </c>
      <c r="E155" s="14" t="str">
        <f>'Data Mentah'!C155</f>
        <v>PhD</v>
      </c>
      <c r="F155" s="19">
        <f>'Data Mentah'!E155</f>
        <v>18</v>
      </c>
      <c r="G155" s="20">
        <f>'Data Mentah'!F155</f>
        <v>140000</v>
      </c>
      <c r="H155" s="21">
        <f t="shared" si="10"/>
        <v>7</v>
      </c>
      <c r="I155" s="21">
        <f t="shared" si="11"/>
        <v>10</v>
      </c>
      <c r="J155" s="21">
        <f t="shared" si="12"/>
        <v>7.48</v>
      </c>
      <c r="K155" s="21">
        <f t="shared" si="13"/>
        <v>6.0344482275185261</v>
      </c>
      <c r="L155" s="21">
        <f t="shared" si="14"/>
        <v>10</v>
      </c>
    </row>
    <row r="156" spans="1:12" ht="15" customHeight="1" x14ac:dyDescent="0.35">
      <c r="A156" s="11">
        <v>154</v>
      </c>
      <c r="B156" s="8" t="str">
        <f>'Data Mentah'!D156</f>
        <v>Junior Customer Support Specialist</v>
      </c>
      <c r="C156" s="22">
        <f>'Data Mentah'!A156</f>
        <v>26</v>
      </c>
      <c r="D156" s="11" t="str">
        <f>'Data Mentah'!B156</f>
        <v>Male</v>
      </c>
      <c r="E156" s="11" t="str">
        <f>'Data Mentah'!C156</f>
        <v>Bachelor's</v>
      </c>
      <c r="F156" s="23">
        <f>'Data Mentah'!E156</f>
        <v>2</v>
      </c>
      <c r="G156" s="24">
        <f>'Data Mentah'!F156</f>
        <v>35000</v>
      </c>
      <c r="H156" s="25">
        <f t="shared" si="10"/>
        <v>1.9</v>
      </c>
      <c r="I156" s="25">
        <f t="shared" si="11"/>
        <v>1</v>
      </c>
      <c r="J156" s="25">
        <f t="shared" si="12"/>
        <v>1.72</v>
      </c>
      <c r="K156" s="25">
        <f t="shared" si="13"/>
        <v>2.2491488083316646</v>
      </c>
      <c r="L156" s="25">
        <f t="shared" si="14"/>
        <v>1</v>
      </c>
    </row>
    <row r="157" spans="1:12" ht="15" customHeight="1" x14ac:dyDescent="0.35">
      <c r="A157" s="14">
        <v>155</v>
      </c>
      <c r="B157" s="17" t="str">
        <f>'Data Mentah'!D157</f>
        <v>Senior Marketing Analyst</v>
      </c>
      <c r="C157" s="18">
        <f>'Data Mentah'!A157</f>
        <v>37</v>
      </c>
      <c r="D157" s="14" t="str">
        <f>'Data Mentah'!B157</f>
        <v>Female</v>
      </c>
      <c r="E157" s="14" t="str">
        <f>'Data Mentah'!C157</f>
        <v>Master's</v>
      </c>
      <c r="F157" s="19">
        <f>'Data Mentah'!E157</f>
        <v>9</v>
      </c>
      <c r="G157" s="20">
        <f>'Data Mentah'!F157</f>
        <v>95000</v>
      </c>
      <c r="H157" s="21">
        <f t="shared" si="10"/>
        <v>5.2</v>
      </c>
      <c r="I157" s="21">
        <f t="shared" si="11"/>
        <v>5.5</v>
      </c>
      <c r="J157" s="21">
        <f t="shared" si="12"/>
        <v>4.24</v>
      </c>
      <c r="K157" s="21">
        <f t="shared" si="13"/>
        <v>4.4121770478670133</v>
      </c>
      <c r="L157" s="21">
        <f t="shared" si="14"/>
        <v>10</v>
      </c>
    </row>
    <row r="158" spans="1:12" ht="15" customHeight="1" x14ac:dyDescent="0.35">
      <c r="A158" s="11">
        <v>156</v>
      </c>
      <c r="B158" s="8" t="str">
        <f>'Data Mentah'!D158</f>
        <v>Senior IT Support Specialist</v>
      </c>
      <c r="C158" s="22">
        <f>'Data Mentah'!A158</f>
        <v>44</v>
      </c>
      <c r="D158" s="11" t="str">
        <f>'Data Mentah'!B158</f>
        <v>Male</v>
      </c>
      <c r="E158" s="11" t="str">
        <f>'Data Mentah'!C158</f>
        <v>Bachelor's</v>
      </c>
      <c r="F158" s="23">
        <f>'Data Mentah'!E158</f>
        <v>14</v>
      </c>
      <c r="G158" s="24">
        <f>'Data Mentah'!F158</f>
        <v>110000</v>
      </c>
      <c r="H158" s="25">
        <f t="shared" si="10"/>
        <v>7.3</v>
      </c>
      <c r="I158" s="25">
        <f t="shared" si="11"/>
        <v>1</v>
      </c>
      <c r="J158" s="25">
        <f t="shared" si="12"/>
        <v>6.04</v>
      </c>
      <c r="K158" s="25">
        <f t="shared" si="13"/>
        <v>4.9529341077508509</v>
      </c>
      <c r="L158" s="25">
        <f t="shared" si="14"/>
        <v>1</v>
      </c>
    </row>
    <row r="159" spans="1:12" ht="15" customHeight="1" x14ac:dyDescent="0.35">
      <c r="A159" s="14">
        <v>157</v>
      </c>
      <c r="B159" s="17" t="str">
        <f>'Data Mentah'!D159</f>
        <v>Junior Financial Analyst</v>
      </c>
      <c r="C159" s="18">
        <f>'Data Mentah'!A159</f>
        <v>32</v>
      </c>
      <c r="D159" s="14" t="str">
        <f>'Data Mentah'!B159</f>
        <v>Female</v>
      </c>
      <c r="E159" s="14" t="str">
        <f>'Data Mentah'!C159</f>
        <v>Bachelor's</v>
      </c>
      <c r="F159" s="19">
        <f>'Data Mentah'!E159</f>
        <v>5</v>
      </c>
      <c r="G159" s="20">
        <f>'Data Mentah'!F159</f>
        <v>50000</v>
      </c>
      <c r="H159" s="21">
        <f t="shared" si="10"/>
        <v>3.7</v>
      </c>
      <c r="I159" s="21">
        <f t="shared" si="11"/>
        <v>1</v>
      </c>
      <c r="J159" s="21">
        <f t="shared" si="12"/>
        <v>2.8</v>
      </c>
      <c r="K159" s="21">
        <f t="shared" si="13"/>
        <v>2.7899058682155018</v>
      </c>
      <c r="L159" s="21">
        <f t="shared" si="14"/>
        <v>10</v>
      </c>
    </row>
    <row r="160" spans="1:12" ht="15" customHeight="1" x14ac:dyDescent="0.35">
      <c r="A160" s="11">
        <v>158</v>
      </c>
      <c r="B160" s="8" t="str">
        <f>'Data Mentah'!D160</f>
        <v>Senior Operations Manager</v>
      </c>
      <c r="C160" s="22">
        <f>'Data Mentah'!A160</f>
        <v>33</v>
      </c>
      <c r="D160" s="11" t="str">
        <f>'Data Mentah'!B160</f>
        <v>Male</v>
      </c>
      <c r="E160" s="11" t="str">
        <f>'Data Mentah'!C160</f>
        <v>Master's</v>
      </c>
      <c r="F160" s="23">
        <f>'Data Mentah'!E160</f>
        <v>7</v>
      </c>
      <c r="G160" s="24">
        <f>'Data Mentah'!F160</f>
        <v>115000</v>
      </c>
      <c r="H160" s="25">
        <f t="shared" si="10"/>
        <v>4</v>
      </c>
      <c r="I160" s="25">
        <f t="shared" si="11"/>
        <v>5.5</v>
      </c>
      <c r="J160" s="25">
        <f t="shared" si="12"/>
        <v>3.52</v>
      </c>
      <c r="K160" s="25">
        <f t="shared" si="13"/>
        <v>5.1331864610454634</v>
      </c>
      <c r="L160" s="25">
        <f t="shared" si="14"/>
        <v>1</v>
      </c>
    </row>
    <row r="161" spans="1:12" ht="15" customHeight="1" x14ac:dyDescent="0.35">
      <c r="A161" s="14">
        <v>159</v>
      </c>
      <c r="B161" s="17" t="str">
        <f>'Data Mentah'!D161</f>
        <v>Director of Human Resources</v>
      </c>
      <c r="C161" s="18">
        <f>'Data Mentah'!A161</f>
        <v>51</v>
      </c>
      <c r="D161" s="14" t="str">
        <f>'Data Mentah'!B161</f>
        <v>Female</v>
      </c>
      <c r="E161" s="14" t="str">
        <f>'Data Mentah'!C161</f>
        <v>PhD</v>
      </c>
      <c r="F161" s="19">
        <f>'Data Mentah'!E161</f>
        <v>23</v>
      </c>
      <c r="G161" s="20">
        <f>'Data Mentah'!F161</f>
        <v>185000</v>
      </c>
      <c r="H161" s="21">
        <f t="shared" si="10"/>
        <v>9.4</v>
      </c>
      <c r="I161" s="21">
        <f t="shared" si="11"/>
        <v>10</v>
      </c>
      <c r="J161" s="21">
        <f t="shared" si="12"/>
        <v>9.2799999999999994</v>
      </c>
      <c r="K161" s="21">
        <f t="shared" si="13"/>
        <v>7.656719407170038</v>
      </c>
      <c r="L161" s="21">
        <f t="shared" si="14"/>
        <v>10</v>
      </c>
    </row>
    <row r="162" spans="1:12" ht="15" customHeight="1" x14ac:dyDescent="0.35">
      <c r="A162" s="11">
        <v>160</v>
      </c>
      <c r="B162" s="8" t="str">
        <f>'Data Mentah'!D162</f>
        <v>Junior Software Engineer</v>
      </c>
      <c r="C162" s="22">
        <f>'Data Mentah'!A162</f>
        <v>28</v>
      </c>
      <c r="D162" s="11" t="str">
        <f>'Data Mentah'!B162</f>
        <v>Male</v>
      </c>
      <c r="E162" s="11" t="str">
        <f>'Data Mentah'!C162</f>
        <v>Bachelor's</v>
      </c>
      <c r="F162" s="23">
        <f>'Data Mentah'!E162</f>
        <v>2</v>
      </c>
      <c r="G162" s="24">
        <f>'Data Mentah'!F162</f>
        <v>40000</v>
      </c>
      <c r="H162" s="25">
        <f t="shared" si="10"/>
        <v>2.5</v>
      </c>
      <c r="I162" s="25">
        <f t="shared" si="11"/>
        <v>1</v>
      </c>
      <c r="J162" s="25">
        <f t="shared" si="12"/>
        <v>1.72</v>
      </c>
      <c r="K162" s="25">
        <f t="shared" si="13"/>
        <v>2.4294011616262767</v>
      </c>
      <c r="L162" s="25">
        <f t="shared" si="14"/>
        <v>1</v>
      </c>
    </row>
    <row r="163" spans="1:12" ht="15" customHeight="1" x14ac:dyDescent="0.35">
      <c r="A163" s="14">
        <v>161</v>
      </c>
      <c r="B163" s="17" t="str">
        <f>'Data Mentah'!D163</f>
        <v>Senior Sales Representative</v>
      </c>
      <c r="C163" s="18">
        <f>'Data Mentah'!A163</f>
        <v>39</v>
      </c>
      <c r="D163" s="14" t="str">
        <f>'Data Mentah'!B163</f>
        <v>Female</v>
      </c>
      <c r="E163" s="14" t="str">
        <f>'Data Mentah'!C163</f>
        <v>Bachelor's</v>
      </c>
      <c r="F163" s="19">
        <f>'Data Mentah'!E163</f>
        <v>12</v>
      </c>
      <c r="G163" s="20">
        <f>'Data Mentah'!F163</f>
        <v>90000</v>
      </c>
      <c r="H163" s="21">
        <f t="shared" si="10"/>
        <v>5.8</v>
      </c>
      <c r="I163" s="21">
        <f t="shared" si="11"/>
        <v>1</v>
      </c>
      <c r="J163" s="21">
        <f t="shared" si="12"/>
        <v>5.32</v>
      </c>
      <c r="K163" s="21">
        <f t="shared" si="13"/>
        <v>4.2319246945724007</v>
      </c>
      <c r="L163" s="21">
        <f t="shared" si="14"/>
        <v>10</v>
      </c>
    </row>
    <row r="164" spans="1:12" ht="15" customHeight="1" x14ac:dyDescent="0.35">
      <c r="A164" s="11">
        <v>162</v>
      </c>
      <c r="B164" s="8" t="str">
        <f>'Data Mentah'!D164</f>
        <v>Director of Product Management</v>
      </c>
      <c r="C164" s="22">
        <f>'Data Mentah'!A164</f>
        <v>48</v>
      </c>
      <c r="D164" s="11" t="str">
        <f>'Data Mentah'!B164</f>
        <v>Male</v>
      </c>
      <c r="E164" s="11" t="str">
        <f>'Data Mentah'!C164</f>
        <v>Master's</v>
      </c>
      <c r="F164" s="23">
        <f>'Data Mentah'!E164</f>
        <v>21</v>
      </c>
      <c r="G164" s="24">
        <f>'Data Mentah'!F164</f>
        <v>175000</v>
      </c>
      <c r="H164" s="25">
        <f t="shared" si="10"/>
        <v>8.5</v>
      </c>
      <c r="I164" s="25">
        <f t="shared" si="11"/>
        <v>5.5</v>
      </c>
      <c r="J164" s="25">
        <f t="shared" si="12"/>
        <v>8.5599999999999987</v>
      </c>
      <c r="K164" s="25">
        <f t="shared" si="13"/>
        <v>7.2962147005808129</v>
      </c>
      <c r="L164" s="25">
        <f t="shared" si="14"/>
        <v>1</v>
      </c>
    </row>
    <row r="165" spans="1:12" ht="15" customHeight="1" x14ac:dyDescent="0.35">
      <c r="A165" s="14">
        <v>163</v>
      </c>
      <c r="B165" s="17" t="str">
        <f>'Data Mentah'!D165</f>
        <v>Junior Copywriter</v>
      </c>
      <c r="C165" s="18">
        <f>'Data Mentah'!A165</f>
        <v>30</v>
      </c>
      <c r="D165" s="14" t="str">
        <f>'Data Mentah'!B165</f>
        <v>Female</v>
      </c>
      <c r="E165" s="14" t="str">
        <f>'Data Mentah'!C165</f>
        <v>Bachelor's</v>
      </c>
      <c r="F165" s="19">
        <f>'Data Mentah'!E165</f>
        <v>3</v>
      </c>
      <c r="G165" s="20">
        <f>'Data Mentah'!F165</f>
        <v>45000</v>
      </c>
      <c r="H165" s="21">
        <f t="shared" si="10"/>
        <v>3.1</v>
      </c>
      <c r="I165" s="21">
        <f t="shared" si="11"/>
        <v>1</v>
      </c>
      <c r="J165" s="21">
        <f t="shared" si="12"/>
        <v>2.08</v>
      </c>
      <c r="K165" s="21">
        <f t="shared" si="13"/>
        <v>2.6096535149208893</v>
      </c>
      <c r="L165" s="21">
        <f t="shared" si="14"/>
        <v>10</v>
      </c>
    </row>
    <row r="166" spans="1:12" ht="15" customHeight="1" x14ac:dyDescent="0.35">
      <c r="A166" s="11">
        <v>164</v>
      </c>
      <c r="B166" s="8" t="str">
        <f>'Data Mentah'!D166</f>
        <v>Senior Marketing Coordinator</v>
      </c>
      <c r="C166" s="22">
        <f>'Data Mentah'!A166</f>
        <v>35</v>
      </c>
      <c r="D166" s="11" t="str">
        <f>'Data Mentah'!B166</f>
        <v>Male</v>
      </c>
      <c r="E166" s="11" t="str">
        <f>'Data Mentah'!C166</f>
        <v>Bachelor's</v>
      </c>
      <c r="F166" s="23">
        <f>'Data Mentah'!E166</f>
        <v>7</v>
      </c>
      <c r="G166" s="24">
        <f>'Data Mentah'!F166</f>
        <v>80000</v>
      </c>
      <c r="H166" s="25">
        <f t="shared" si="10"/>
        <v>4.5999999999999996</v>
      </c>
      <c r="I166" s="25">
        <f t="shared" si="11"/>
        <v>1</v>
      </c>
      <c r="J166" s="25">
        <f t="shared" si="12"/>
        <v>3.52</v>
      </c>
      <c r="K166" s="25">
        <f t="shared" si="13"/>
        <v>3.8714199879831765</v>
      </c>
      <c r="L166" s="25">
        <f t="shared" si="14"/>
        <v>1</v>
      </c>
    </row>
    <row r="167" spans="1:12" ht="15" customHeight="1" x14ac:dyDescent="0.35">
      <c r="A167" s="14">
        <v>165</v>
      </c>
      <c r="B167" s="17" t="str">
        <f>'Data Mentah'!D167</f>
        <v>Senior Human Resources Manager</v>
      </c>
      <c r="C167" s="18">
        <f>'Data Mentah'!A167</f>
        <v>41</v>
      </c>
      <c r="D167" s="14" t="str">
        <f>'Data Mentah'!B167</f>
        <v>Female</v>
      </c>
      <c r="E167" s="14" t="str">
        <f>'Data Mentah'!C167</f>
        <v>Master's</v>
      </c>
      <c r="F167" s="19">
        <f>'Data Mentah'!E167</f>
        <v>13</v>
      </c>
      <c r="G167" s="20">
        <f>'Data Mentah'!F167</f>
        <v>120000</v>
      </c>
      <c r="H167" s="21">
        <f t="shared" si="10"/>
        <v>6.4</v>
      </c>
      <c r="I167" s="21">
        <f t="shared" si="11"/>
        <v>5.5</v>
      </c>
      <c r="J167" s="21">
        <f t="shared" si="12"/>
        <v>5.68</v>
      </c>
      <c r="K167" s="21">
        <f t="shared" si="13"/>
        <v>5.3134388143400759</v>
      </c>
      <c r="L167" s="21">
        <f t="shared" si="14"/>
        <v>10</v>
      </c>
    </row>
    <row r="168" spans="1:12" ht="15" customHeight="1" x14ac:dyDescent="0.35">
      <c r="A168" s="11">
        <v>166</v>
      </c>
      <c r="B168" s="8" t="str">
        <f>'Data Mentah'!D168</f>
        <v>Junior Business Development Associate</v>
      </c>
      <c r="C168" s="22">
        <f>'Data Mentah'!A168</f>
        <v>27</v>
      </c>
      <c r="D168" s="11" t="str">
        <f>'Data Mentah'!B168</f>
        <v>Male</v>
      </c>
      <c r="E168" s="11" t="str">
        <f>'Data Mentah'!C168</f>
        <v>Bachelor's</v>
      </c>
      <c r="F168" s="23">
        <f>'Data Mentah'!E168</f>
        <v>1.5</v>
      </c>
      <c r="G168" s="24">
        <f>'Data Mentah'!F168</f>
        <v>35000</v>
      </c>
      <c r="H168" s="25">
        <f t="shared" si="10"/>
        <v>2.2000000000000002</v>
      </c>
      <c r="I168" s="25">
        <f t="shared" si="11"/>
        <v>1</v>
      </c>
      <c r="J168" s="25">
        <f t="shared" si="12"/>
        <v>1.54</v>
      </c>
      <c r="K168" s="25">
        <f t="shared" si="13"/>
        <v>2.2491488083316646</v>
      </c>
      <c r="L168" s="25">
        <f t="shared" si="14"/>
        <v>1</v>
      </c>
    </row>
    <row r="169" spans="1:12" ht="15" customHeight="1" x14ac:dyDescent="0.35">
      <c r="A169" s="14">
        <v>167</v>
      </c>
      <c r="B169" s="17" t="str">
        <f>'Data Mentah'!D169</f>
        <v>Senior Account Manager</v>
      </c>
      <c r="C169" s="18">
        <f>'Data Mentah'!A169</f>
        <v>40</v>
      </c>
      <c r="D169" s="14" t="str">
        <f>'Data Mentah'!B169</f>
        <v>Female</v>
      </c>
      <c r="E169" s="14" t="str">
        <f>'Data Mentah'!C169</f>
        <v>Bachelor's</v>
      </c>
      <c r="F169" s="19">
        <f>'Data Mentah'!E169</f>
        <v>14</v>
      </c>
      <c r="G169" s="20">
        <f>'Data Mentah'!F169</f>
        <v>110000</v>
      </c>
      <c r="H169" s="21">
        <f t="shared" si="10"/>
        <v>6.1</v>
      </c>
      <c r="I169" s="21">
        <f t="shared" si="11"/>
        <v>1</v>
      </c>
      <c r="J169" s="21">
        <f t="shared" si="12"/>
        <v>6.04</v>
      </c>
      <c r="K169" s="21">
        <f t="shared" si="13"/>
        <v>4.9529341077508509</v>
      </c>
      <c r="L169" s="21">
        <f t="shared" si="14"/>
        <v>10</v>
      </c>
    </row>
    <row r="170" spans="1:12" ht="15" customHeight="1" x14ac:dyDescent="0.35">
      <c r="A170" s="11">
        <v>168</v>
      </c>
      <c r="B170" s="8" t="str">
        <f>'Data Mentah'!D170</f>
        <v>Senior Researcher</v>
      </c>
      <c r="C170" s="22">
        <f>'Data Mentah'!A170</f>
        <v>46</v>
      </c>
      <c r="D170" s="11" t="str">
        <f>'Data Mentah'!B170</f>
        <v>Male</v>
      </c>
      <c r="E170" s="11" t="str">
        <f>'Data Mentah'!C170</f>
        <v>PhD</v>
      </c>
      <c r="F170" s="23">
        <f>'Data Mentah'!E170</f>
        <v>18</v>
      </c>
      <c r="G170" s="24">
        <f>'Data Mentah'!F170</f>
        <v>150000</v>
      </c>
      <c r="H170" s="25">
        <f t="shared" si="10"/>
        <v>7.9</v>
      </c>
      <c r="I170" s="25">
        <f t="shared" si="11"/>
        <v>10</v>
      </c>
      <c r="J170" s="25">
        <f t="shared" si="12"/>
        <v>7.48</v>
      </c>
      <c r="K170" s="25">
        <f t="shared" si="13"/>
        <v>6.3949529341077511</v>
      </c>
      <c r="L170" s="25">
        <f t="shared" si="14"/>
        <v>1</v>
      </c>
    </row>
    <row r="171" spans="1:12" ht="15" customHeight="1" x14ac:dyDescent="0.35">
      <c r="A171" s="14">
        <v>169</v>
      </c>
      <c r="B171" s="17" t="str">
        <f>'Data Mentah'!D171</f>
        <v>Junior HR Coordinator</v>
      </c>
      <c r="C171" s="18">
        <f>'Data Mentah'!A171</f>
        <v>31</v>
      </c>
      <c r="D171" s="14" t="str">
        <f>'Data Mentah'!B171</f>
        <v>Female</v>
      </c>
      <c r="E171" s="14" t="str">
        <f>'Data Mentah'!C171</f>
        <v>Bachelor's</v>
      </c>
      <c r="F171" s="19">
        <f>'Data Mentah'!E171</f>
        <v>4</v>
      </c>
      <c r="G171" s="20">
        <f>'Data Mentah'!F171</f>
        <v>50000</v>
      </c>
      <c r="H171" s="21">
        <f t="shared" si="10"/>
        <v>3.4</v>
      </c>
      <c r="I171" s="21">
        <f t="shared" si="11"/>
        <v>1</v>
      </c>
      <c r="J171" s="21">
        <f t="shared" si="12"/>
        <v>2.44</v>
      </c>
      <c r="K171" s="21">
        <f t="shared" si="13"/>
        <v>2.7899058682155018</v>
      </c>
      <c r="L171" s="21">
        <f t="shared" si="14"/>
        <v>10</v>
      </c>
    </row>
    <row r="172" spans="1:12" ht="15" customHeight="1" x14ac:dyDescent="0.35">
      <c r="A172" s="11">
        <v>170</v>
      </c>
      <c r="B172" s="8" t="str">
        <f>'Data Mentah'!D172</f>
        <v>Senior Software Engineer</v>
      </c>
      <c r="C172" s="22">
        <f>'Data Mentah'!A172</f>
        <v>34</v>
      </c>
      <c r="D172" s="11" t="str">
        <f>'Data Mentah'!B172</f>
        <v>Male</v>
      </c>
      <c r="E172" s="11" t="str">
        <f>'Data Mentah'!C172</f>
        <v>Master's</v>
      </c>
      <c r="F172" s="23">
        <f>'Data Mentah'!E172</f>
        <v>9</v>
      </c>
      <c r="G172" s="24">
        <f>'Data Mentah'!F172</f>
        <v>105000</v>
      </c>
      <c r="H172" s="25">
        <f t="shared" si="10"/>
        <v>4.3</v>
      </c>
      <c r="I172" s="25">
        <f t="shared" si="11"/>
        <v>5.5</v>
      </c>
      <c r="J172" s="25">
        <f t="shared" si="12"/>
        <v>4.24</v>
      </c>
      <c r="K172" s="25">
        <f t="shared" si="13"/>
        <v>4.7726817544562383</v>
      </c>
      <c r="L172" s="25">
        <f t="shared" si="14"/>
        <v>1</v>
      </c>
    </row>
    <row r="173" spans="1:12" ht="15" customHeight="1" x14ac:dyDescent="0.35">
      <c r="A173" s="14">
        <v>171</v>
      </c>
      <c r="B173" s="17" t="str">
        <f>'Data Mentah'!D173</f>
        <v>Director of Finance</v>
      </c>
      <c r="C173" s="18">
        <f>'Data Mentah'!A173</f>
        <v>50</v>
      </c>
      <c r="D173" s="14" t="str">
        <f>'Data Mentah'!B173</f>
        <v>Female</v>
      </c>
      <c r="E173" s="14" t="str">
        <f>'Data Mentah'!C173</f>
        <v>Master's</v>
      </c>
      <c r="F173" s="19">
        <f>'Data Mentah'!E173</f>
        <v>20</v>
      </c>
      <c r="G173" s="20">
        <f>'Data Mentah'!F173</f>
        <v>180000</v>
      </c>
      <c r="H173" s="21">
        <f t="shared" si="10"/>
        <v>9.1</v>
      </c>
      <c r="I173" s="21">
        <f t="shared" si="11"/>
        <v>5.5</v>
      </c>
      <c r="J173" s="21">
        <f t="shared" si="12"/>
        <v>8.1999999999999993</v>
      </c>
      <c r="K173" s="21">
        <f t="shared" si="13"/>
        <v>7.4764670538754254</v>
      </c>
      <c r="L173" s="21">
        <f t="shared" si="14"/>
        <v>10</v>
      </c>
    </row>
    <row r="174" spans="1:12" ht="15" customHeight="1" x14ac:dyDescent="0.35">
      <c r="A174" s="11">
        <v>172</v>
      </c>
      <c r="B174" s="8" t="str">
        <f>'Data Mentah'!D174</f>
        <v>Junior Marketing Coordinator</v>
      </c>
      <c r="C174" s="22">
        <f>'Data Mentah'!A174</f>
        <v>29</v>
      </c>
      <c r="D174" s="11" t="str">
        <f>'Data Mentah'!B174</f>
        <v>Male</v>
      </c>
      <c r="E174" s="11" t="str">
        <f>'Data Mentah'!C174</f>
        <v>Bachelor's</v>
      </c>
      <c r="F174" s="23">
        <f>'Data Mentah'!E174</f>
        <v>2</v>
      </c>
      <c r="G174" s="24">
        <f>'Data Mentah'!F174</f>
        <v>40000</v>
      </c>
      <c r="H174" s="25">
        <f t="shared" si="10"/>
        <v>2.8</v>
      </c>
      <c r="I174" s="25">
        <f t="shared" si="11"/>
        <v>1</v>
      </c>
      <c r="J174" s="25">
        <f t="shared" si="12"/>
        <v>1.72</v>
      </c>
      <c r="K174" s="25">
        <f t="shared" si="13"/>
        <v>2.4294011616262767</v>
      </c>
      <c r="L174" s="25">
        <f t="shared" si="14"/>
        <v>1</v>
      </c>
    </row>
    <row r="175" spans="1:12" ht="15" customHeight="1" x14ac:dyDescent="0.35">
      <c r="A175" s="14">
        <v>173</v>
      </c>
      <c r="B175" s="17" t="str">
        <f>'Data Mentah'!D175</f>
        <v>Senior Project Manager</v>
      </c>
      <c r="C175" s="18">
        <f>'Data Mentah'!A175</f>
        <v>43</v>
      </c>
      <c r="D175" s="14" t="str">
        <f>'Data Mentah'!B175</f>
        <v>Male</v>
      </c>
      <c r="E175" s="14" t="str">
        <f>'Data Mentah'!C175</f>
        <v>Bachelor's</v>
      </c>
      <c r="F175" s="19">
        <f>'Data Mentah'!E175</f>
        <v>16</v>
      </c>
      <c r="G175" s="20">
        <f>'Data Mentah'!F175</f>
        <v>140000</v>
      </c>
      <c r="H175" s="21">
        <f t="shared" si="10"/>
        <v>7</v>
      </c>
      <c r="I175" s="21">
        <f t="shared" si="11"/>
        <v>1</v>
      </c>
      <c r="J175" s="21">
        <f t="shared" si="12"/>
        <v>6.76</v>
      </c>
      <c r="K175" s="21">
        <f t="shared" si="13"/>
        <v>6.0344482275185261</v>
      </c>
      <c r="L175" s="21">
        <f t="shared" si="14"/>
        <v>1</v>
      </c>
    </row>
    <row r="176" spans="1:12" ht="15" customHeight="1" x14ac:dyDescent="0.35">
      <c r="A176" s="11">
        <v>174</v>
      </c>
      <c r="B176" s="8" t="str">
        <f>'Data Mentah'!D176</f>
        <v>Junior Data Scientist</v>
      </c>
      <c r="C176" s="22">
        <f>'Data Mentah'!A176</f>
        <v>26</v>
      </c>
      <c r="D176" s="11" t="str">
        <f>'Data Mentah'!B176</f>
        <v>Female</v>
      </c>
      <c r="E176" s="11" t="str">
        <f>'Data Mentah'!C176</f>
        <v>Master's</v>
      </c>
      <c r="F176" s="23">
        <f>'Data Mentah'!E176</f>
        <v>1.5</v>
      </c>
      <c r="G176" s="24">
        <f>'Data Mentah'!F176</f>
        <v>45000</v>
      </c>
      <c r="H176" s="25">
        <f t="shared" si="10"/>
        <v>1.9</v>
      </c>
      <c r="I176" s="25">
        <f t="shared" si="11"/>
        <v>5.5</v>
      </c>
      <c r="J176" s="25">
        <f t="shared" si="12"/>
        <v>1.54</v>
      </c>
      <c r="K176" s="25">
        <f t="shared" si="13"/>
        <v>2.6096535149208893</v>
      </c>
      <c r="L176" s="25">
        <f t="shared" si="14"/>
        <v>10</v>
      </c>
    </row>
    <row r="177" spans="1:12" ht="15" customHeight="1" x14ac:dyDescent="0.35">
      <c r="A177" s="14">
        <v>175</v>
      </c>
      <c r="B177" s="17" t="str">
        <f>'Data Mentah'!D177</f>
        <v>Senior Operations Analyst</v>
      </c>
      <c r="C177" s="18">
        <f>'Data Mentah'!A177</f>
        <v>35</v>
      </c>
      <c r="D177" s="14" t="str">
        <f>'Data Mentah'!B177</f>
        <v>Male</v>
      </c>
      <c r="E177" s="14" t="str">
        <f>'Data Mentah'!C177</f>
        <v>Bachelor's</v>
      </c>
      <c r="F177" s="19">
        <f>'Data Mentah'!E177</f>
        <v>7</v>
      </c>
      <c r="G177" s="20">
        <f>'Data Mentah'!F177</f>
        <v>85000</v>
      </c>
      <c r="H177" s="21">
        <f t="shared" si="10"/>
        <v>4.5999999999999996</v>
      </c>
      <c r="I177" s="21">
        <f t="shared" si="11"/>
        <v>1</v>
      </c>
      <c r="J177" s="21">
        <f t="shared" si="12"/>
        <v>3.52</v>
      </c>
      <c r="K177" s="21">
        <f t="shared" si="13"/>
        <v>4.0516723412777891</v>
      </c>
      <c r="L177" s="21">
        <f t="shared" si="14"/>
        <v>1</v>
      </c>
    </row>
    <row r="178" spans="1:12" ht="15" customHeight="1" x14ac:dyDescent="0.35">
      <c r="A178" s="11">
        <v>176</v>
      </c>
      <c r="B178" s="8" t="str">
        <f>'Data Mentah'!D178</f>
        <v>Senior Marketing Manager</v>
      </c>
      <c r="C178" s="22">
        <f>'Data Mentah'!A178</f>
        <v>42</v>
      </c>
      <c r="D178" s="11" t="str">
        <f>'Data Mentah'!B178</f>
        <v>Female</v>
      </c>
      <c r="E178" s="11" t="str">
        <f>'Data Mentah'!C178</f>
        <v>PhD</v>
      </c>
      <c r="F178" s="23">
        <f>'Data Mentah'!E178</f>
        <v>18</v>
      </c>
      <c r="G178" s="24">
        <f>'Data Mentah'!F178</f>
        <v>140000</v>
      </c>
      <c r="H178" s="25">
        <f t="shared" si="10"/>
        <v>6.7</v>
      </c>
      <c r="I178" s="25">
        <f t="shared" si="11"/>
        <v>10</v>
      </c>
      <c r="J178" s="25">
        <f t="shared" si="12"/>
        <v>7.48</v>
      </c>
      <c r="K178" s="25">
        <f t="shared" si="13"/>
        <v>6.0344482275185261</v>
      </c>
      <c r="L178" s="25">
        <f t="shared" si="14"/>
        <v>10</v>
      </c>
    </row>
    <row r="179" spans="1:12" ht="15" customHeight="1" x14ac:dyDescent="0.35">
      <c r="A179" s="14">
        <v>177</v>
      </c>
      <c r="B179" s="17" t="str">
        <f>'Data Mentah'!D179</f>
        <v>Junior Accountant</v>
      </c>
      <c r="C179" s="18">
        <f>'Data Mentah'!A179</f>
        <v>31</v>
      </c>
      <c r="D179" s="14" t="str">
        <f>'Data Mentah'!B179</f>
        <v>Male</v>
      </c>
      <c r="E179" s="14" t="str">
        <f>'Data Mentah'!C179</f>
        <v>Bachelor's</v>
      </c>
      <c r="F179" s="19">
        <f>'Data Mentah'!E179</f>
        <v>4</v>
      </c>
      <c r="G179" s="20">
        <f>'Data Mentah'!F179</f>
        <v>50000</v>
      </c>
      <c r="H179" s="21">
        <f t="shared" si="10"/>
        <v>3.4</v>
      </c>
      <c r="I179" s="21">
        <f t="shared" si="11"/>
        <v>1</v>
      </c>
      <c r="J179" s="21">
        <f t="shared" si="12"/>
        <v>2.44</v>
      </c>
      <c r="K179" s="21">
        <f t="shared" si="13"/>
        <v>2.7899058682155018</v>
      </c>
      <c r="L179" s="21">
        <f t="shared" si="14"/>
        <v>1</v>
      </c>
    </row>
    <row r="180" spans="1:12" ht="15" customHeight="1" x14ac:dyDescent="0.35">
      <c r="A180" s="11">
        <v>178</v>
      </c>
      <c r="B180" s="8" t="str">
        <f>'Data Mentah'!D180</f>
        <v>Senior Human Resources Coordinator</v>
      </c>
      <c r="C180" s="22">
        <f>'Data Mentah'!A180</f>
        <v>38</v>
      </c>
      <c r="D180" s="11" t="str">
        <f>'Data Mentah'!B180</f>
        <v>Female</v>
      </c>
      <c r="E180" s="11" t="str">
        <f>'Data Mentah'!C180</f>
        <v>Bachelor's</v>
      </c>
      <c r="F180" s="23">
        <f>'Data Mentah'!E180</f>
        <v>10</v>
      </c>
      <c r="G180" s="24">
        <f>'Data Mentah'!F180</f>
        <v>80000</v>
      </c>
      <c r="H180" s="25">
        <f t="shared" si="10"/>
        <v>5.5</v>
      </c>
      <c r="I180" s="25">
        <f t="shared" si="11"/>
        <v>1</v>
      </c>
      <c r="J180" s="25">
        <f t="shared" si="12"/>
        <v>4.5999999999999996</v>
      </c>
      <c r="K180" s="25">
        <f t="shared" si="13"/>
        <v>3.8714199879831765</v>
      </c>
      <c r="L180" s="25">
        <f t="shared" si="14"/>
        <v>10</v>
      </c>
    </row>
    <row r="181" spans="1:12" ht="15" customHeight="1" x14ac:dyDescent="0.35">
      <c r="A181" s="14">
        <v>179</v>
      </c>
      <c r="B181" s="17" t="str">
        <f>'Data Mentah'!D181</f>
        <v>Director of Operations</v>
      </c>
      <c r="C181" s="18">
        <f>'Data Mentah'!A181</f>
        <v>46</v>
      </c>
      <c r="D181" s="14" t="str">
        <f>'Data Mentah'!B181</f>
        <v>Male</v>
      </c>
      <c r="E181" s="14" t="str">
        <f>'Data Mentah'!C181</f>
        <v>Master's</v>
      </c>
      <c r="F181" s="19">
        <f>'Data Mentah'!E181</f>
        <v>20</v>
      </c>
      <c r="G181" s="20">
        <f>'Data Mentah'!F181</f>
        <v>170000</v>
      </c>
      <c r="H181" s="21">
        <f t="shared" si="10"/>
        <v>7.9</v>
      </c>
      <c r="I181" s="21">
        <f t="shared" si="11"/>
        <v>5.5</v>
      </c>
      <c r="J181" s="21">
        <f t="shared" si="12"/>
        <v>8.1999999999999993</v>
      </c>
      <c r="K181" s="21">
        <f t="shared" si="13"/>
        <v>7.1159623472862004</v>
      </c>
      <c r="L181" s="21">
        <f t="shared" si="14"/>
        <v>1</v>
      </c>
    </row>
    <row r="182" spans="1:12" ht="15" customHeight="1" x14ac:dyDescent="0.35">
      <c r="A182" s="11">
        <v>180</v>
      </c>
      <c r="B182" s="8" t="str">
        <f>'Data Mentah'!D182</f>
        <v>Junior Sales Representative</v>
      </c>
      <c r="C182" s="22">
        <f>'Data Mentah'!A182</f>
        <v>29</v>
      </c>
      <c r="D182" s="11" t="str">
        <f>'Data Mentah'!B182</f>
        <v>Female</v>
      </c>
      <c r="E182" s="11" t="str">
        <f>'Data Mentah'!C182</f>
        <v>Bachelor's</v>
      </c>
      <c r="F182" s="23">
        <f>'Data Mentah'!E182</f>
        <v>2</v>
      </c>
      <c r="G182" s="24">
        <f>'Data Mentah'!F182</f>
        <v>40000</v>
      </c>
      <c r="H182" s="25">
        <f t="shared" si="10"/>
        <v>2.8</v>
      </c>
      <c r="I182" s="25">
        <f t="shared" si="11"/>
        <v>1</v>
      </c>
      <c r="J182" s="25">
        <f t="shared" si="12"/>
        <v>1.72</v>
      </c>
      <c r="K182" s="25">
        <f t="shared" si="13"/>
        <v>2.4294011616262767</v>
      </c>
      <c r="L182" s="25">
        <f t="shared" si="14"/>
        <v>10</v>
      </c>
    </row>
    <row r="183" spans="1:12" ht="15" customHeight="1" x14ac:dyDescent="0.35">
      <c r="A183" s="14">
        <v>181</v>
      </c>
      <c r="B183" s="17" t="str">
        <f>'Data Mentah'!D183</f>
        <v>Senior Business Analyst</v>
      </c>
      <c r="C183" s="18">
        <f>'Data Mentah'!A183</f>
        <v>37</v>
      </c>
      <c r="D183" s="14" t="str">
        <f>'Data Mentah'!B183</f>
        <v>Male</v>
      </c>
      <c r="E183" s="14" t="str">
        <f>'Data Mentah'!C183</f>
        <v>Master's</v>
      </c>
      <c r="F183" s="19">
        <f>'Data Mentah'!E183</f>
        <v>9</v>
      </c>
      <c r="G183" s="20">
        <f>'Data Mentah'!F183</f>
        <v>105000</v>
      </c>
      <c r="H183" s="21">
        <f t="shared" si="10"/>
        <v>5.2</v>
      </c>
      <c r="I183" s="21">
        <f t="shared" si="11"/>
        <v>5.5</v>
      </c>
      <c r="J183" s="21">
        <f t="shared" si="12"/>
        <v>4.24</v>
      </c>
      <c r="K183" s="21">
        <f t="shared" si="13"/>
        <v>4.7726817544562383</v>
      </c>
      <c r="L183" s="21">
        <f t="shared" si="14"/>
        <v>1</v>
      </c>
    </row>
    <row r="184" spans="1:12" ht="15" customHeight="1" x14ac:dyDescent="0.35">
      <c r="A184" s="11">
        <v>182</v>
      </c>
      <c r="B184" s="8" t="str">
        <f>'Data Mentah'!D184</f>
        <v>Senior UX Designer</v>
      </c>
      <c r="C184" s="22">
        <f>'Data Mentah'!A184</f>
        <v>44</v>
      </c>
      <c r="D184" s="11" t="str">
        <f>'Data Mentah'!B184</f>
        <v>Female</v>
      </c>
      <c r="E184" s="11" t="str">
        <f>'Data Mentah'!C184</f>
        <v>PhD</v>
      </c>
      <c r="F184" s="23">
        <f>'Data Mentah'!E184</f>
        <v>15</v>
      </c>
      <c r="G184" s="24">
        <f>'Data Mentah'!F184</f>
        <v>145000</v>
      </c>
      <c r="H184" s="25">
        <f t="shared" si="10"/>
        <v>7.3</v>
      </c>
      <c r="I184" s="25">
        <f t="shared" si="11"/>
        <v>10</v>
      </c>
      <c r="J184" s="25">
        <f t="shared" si="12"/>
        <v>6.4</v>
      </c>
      <c r="K184" s="25">
        <f t="shared" si="13"/>
        <v>6.2147005808131386</v>
      </c>
      <c r="L184" s="25">
        <f t="shared" si="14"/>
        <v>10</v>
      </c>
    </row>
    <row r="185" spans="1:12" ht="15" customHeight="1" x14ac:dyDescent="0.35">
      <c r="A185" s="14">
        <v>183</v>
      </c>
      <c r="B185" s="17" t="str">
        <f>'Data Mentah'!D185</f>
        <v>Junior Product Manager</v>
      </c>
      <c r="C185" s="18">
        <f>'Data Mentah'!A185</f>
        <v>27</v>
      </c>
      <c r="D185" s="14" t="str">
        <f>'Data Mentah'!B185</f>
        <v>Male</v>
      </c>
      <c r="E185" s="14" t="str">
        <f>'Data Mentah'!C185</f>
        <v>Bachelor's</v>
      </c>
      <c r="F185" s="19">
        <f>'Data Mentah'!E185</f>
        <v>2</v>
      </c>
      <c r="G185" s="20">
        <f>'Data Mentah'!F185</f>
        <v>40000</v>
      </c>
      <c r="H185" s="21">
        <f t="shared" si="10"/>
        <v>2.2000000000000002</v>
      </c>
      <c r="I185" s="21">
        <f t="shared" si="11"/>
        <v>1</v>
      </c>
      <c r="J185" s="21">
        <f t="shared" si="12"/>
        <v>1.72</v>
      </c>
      <c r="K185" s="21">
        <f t="shared" si="13"/>
        <v>2.4294011616262767</v>
      </c>
      <c r="L185" s="21">
        <f t="shared" si="14"/>
        <v>1</v>
      </c>
    </row>
    <row r="186" spans="1:12" ht="15" customHeight="1" x14ac:dyDescent="0.35">
      <c r="A186" s="11">
        <v>184</v>
      </c>
      <c r="B186" s="8" t="str">
        <f>'Data Mentah'!D186</f>
        <v>Senior Marketing Specialist</v>
      </c>
      <c r="C186" s="22">
        <f>'Data Mentah'!A186</f>
        <v>36</v>
      </c>
      <c r="D186" s="11" t="str">
        <f>'Data Mentah'!B186</f>
        <v>Female</v>
      </c>
      <c r="E186" s="11" t="str">
        <f>'Data Mentah'!C186</f>
        <v>Bachelor's</v>
      </c>
      <c r="F186" s="23">
        <f>'Data Mentah'!E186</f>
        <v>8</v>
      </c>
      <c r="G186" s="24">
        <f>'Data Mentah'!F186</f>
        <v>85000</v>
      </c>
      <c r="H186" s="25">
        <f t="shared" si="10"/>
        <v>4.9000000000000004</v>
      </c>
      <c r="I186" s="25">
        <f t="shared" si="11"/>
        <v>1</v>
      </c>
      <c r="J186" s="25">
        <f t="shared" si="12"/>
        <v>3.88</v>
      </c>
      <c r="K186" s="25">
        <f t="shared" si="13"/>
        <v>4.0516723412777891</v>
      </c>
      <c r="L186" s="25">
        <f t="shared" si="14"/>
        <v>10</v>
      </c>
    </row>
    <row r="187" spans="1:12" ht="15" customHeight="1" x14ac:dyDescent="0.35">
      <c r="A187" s="14">
        <v>185</v>
      </c>
      <c r="B187" s="17" t="str">
        <f>'Data Mentah'!D187</f>
        <v>Senior IT Project Manager</v>
      </c>
      <c r="C187" s="18">
        <f>'Data Mentah'!A187</f>
        <v>43</v>
      </c>
      <c r="D187" s="14" t="str">
        <f>'Data Mentah'!B187</f>
        <v>Male</v>
      </c>
      <c r="E187" s="14" t="str">
        <f>'Data Mentah'!C187</f>
        <v>Bachelor's</v>
      </c>
      <c r="F187" s="19">
        <f>'Data Mentah'!E187</f>
        <v>14</v>
      </c>
      <c r="G187" s="20">
        <f>'Data Mentah'!F187</f>
        <v>130000</v>
      </c>
      <c r="H187" s="21">
        <f t="shared" si="10"/>
        <v>7</v>
      </c>
      <c r="I187" s="21">
        <f t="shared" si="11"/>
        <v>1</v>
      </c>
      <c r="J187" s="21">
        <f t="shared" si="12"/>
        <v>6.04</v>
      </c>
      <c r="K187" s="21">
        <f t="shared" si="13"/>
        <v>5.673943520929301</v>
      </c>
      <c r="L187" s="21">
        <f t="shared" si="14"/>
        <v>1</v>
      </c>
    </row>
    <row r="188" spans="1:12" ht="15" customHeight="1" x14ac:dyDescent="0.35">
      <c r="A188" s="11">
        <v>186</v>
      </c>
      <c r="B188" s="8" t="str">
        <f>'Data Mentah'!D188</f>
        <v>Senior Financial Analyst</v>
      </c>
      <c r="C188" s="22">
        <f>'Data Mentah'!A188</f>
        <v>33</v>
      </c>
      <c r="D188" s="11" t="str">
        <f>'Data Mentah'!B188</f>
        <v>Female</v>
      </c>
      <c r="E188" s="11" t="str">
        <f>'Data Mentah'!C188</f>
        <v>Master's</v>
      </c>
      <c r="F188" s="23">
        <f>'Data Mentah'!E188</f>
        <v>6</v>
      </c>
      <c r="G188" s="24">
        <f>'Data Mentah'!F188</f>
        <v>95000</v>
      </c>
      <c r="H188" s="25">
        <f t="shared" si="10"/>
        <v>4</v>
      </c>
      <c r="I188" s="25">
        <f t="shared" si="11"/>
        <v>5.5</v>
      </c>
      <c r="J188" s="25">
        <f t="shared" si="12"/>
        <v>3.16</v>
      </c>
      <c r="K188" s="25">
        <f t="shared" si="13"/>
        <v>4.4121770478670133</v>
      </c>
      <c r="L188" s="25">
        <f t="shared" si="14"/>
        <v>10</v>
      </c>
    </row>
    <row r="189" spans="1:12" ht="15" customHeight="1" x14ac:dyDescent="0.35">
      <c r="A189" s="14">
        <v>187</v>
      </c>
      <c r="B189" s="17" t="str">
        <f>'Data Mentah'!D189</f>
        <v>Senior Quality Assurance Analyst</v>
      </c>
      <c r="C189" s="18">
        <f>'Data Mentah'!A189</f>
        <v>34</v>
      </c>
      <c r="D189" s="14" t="str">
        <f>'Data Mentah'!B189</f>
        <v>Male</v>
      </c>
      <c r="E189" s="14" t="str">
        <f>'Data Mentah'!C189</f>
        <v>Bachelor's</v>
      </c>
      <c r="F189" s="19">
        <f>'Data Mentah'!E189</f>
        <v>9</v>
      </c>
      <c r="G189" s="20">
        <f>'Data Mentah'!F189</f>
        <v>100000</v>
      </c>
      <c r="H189" s="21">
        <f t="shared" si="10"/>
        <v>4.3</v>
      </c>
      <c r="I189" s="21">
        <f t="shared" si="11"/>
        <v>1</v>
      </c>
      <c r="J189" s="21">
        <f t="shared" si="12"/>
        <v>4.24</v>
      </c>
      <c r="K189" s="21">
        <f t="shared" si="13"/>
        <v>4.5924294011616258</v>
      </c>
      <c r="L189" s="21">
        <f t="shared" si="14"/>
        <v>1</v>
      </c>
    </row>
    <row r="190" spans="1:12" ht="15" customHeight="1" x14ac:dyDescent="0.35">
      <c r="A190" s="11">
        <v>188</v>
      </c>
      <c r="B190" s="8" t="str">
        <f>'Data Mentah'!D190</f>
        <v>Director of Sales and Marketing</v>
      </c>
      <c r="C190" s="22">
        <f>'Data Mentah'!A190</f>
        <v>50</v>
      </c>
      <c r="D190" s="11" t="str">
        <f>'Data Mentah'!B190</f>
        <v>Female</v>
      </c>
      <c r="E190" s="11" t="str">
        <f>'Data Mentah'!C190</f>
        <v>PhD</v>
      </c>
      <c r="F190" s="23">
        <f>'Data Mentah'!E190</f>
        <v>22</v>
      </c>
      <c r="G190" s="24">
        <f>'Data Mentah'!F190</f>
        <v>180000</v>
      </c>
      <c r="H190" s="25">
        <f t="shared" si="10"/>
        <v>9.1</v>
      </c>
      <c r="I190" s="25">
        <f t="shared" si="11"/>
        <v>10</v>
      </c>
      <c r="J190" s="25">
        <f t="shared" si="12"/>
        <v>8.92</v>
      </c>
      <c r="K190" s="25">
        <f t="shared" si="13"/>
        <v>7.4764670538754254</v>
      </c>
      <c r="L190" s="25">
        <f t="shared" si="14"/>
        <v>10</v>
      </c>
    </row>
    <row r="191" spans="1:12" ht="15" customHeight="1" x14ac:dyDescent="0.35">
      <c r="A191" s="14">
        <v>189</v>
      </c>
      <c r="B191" s="17" t="str">
        <f>'Data Mentah'!D191</f>
        <v>Junior Operations Analyst</v>
      </c>
      <c r="C191" s="18">
        <f>'Data Mentah'!A191</f>
        <v>28</v>
      </c>
      <c r="D191" s="14" t="str">
        <f>'Data Mentah'!B191</f>
        <v>Male</v>
      </c>
      <c r="E191" s="14" t="str">
        <f>'Data Mentah'!C191</f>
        <v>Bachelor's</v>
      </c>
      <c r="F191" s="19">
        <f>'Data Mentah'!E191</f>
        <v>1.5</v>
      </c>
      <c r="G191" s="20">
        <f>'Data Mentah'!F191</f>
        <v>35000</v>
      </c>
      <c r="H191" s="21">
        <f t="shared" si="10"/>
        <v>2.5</v>
      </c>
      <c r="I191" s="21">
        <f t="shared" si="11"/>
        <v>1</v>
      </c>
      <c r="J191" s="21">
        <f t="shared" si="12"/>
        <v>1.54</v>
      </c>
      <c r="K191" s="21">
        <f t="shared" si="13"/>
        <v>2.2491488083316646</v>
      </c>
      <c r="L191" s="21">
        <f t="shared" si="14"/>
        <v>1</v>
      </c>
    </row>
    <row r="192" spans="1:12" ht="15" customHeight="1" x14ac:dyDescent="0.35">
      <c r="A192" s="11">
        <v>190</v>
      </c>
      <c r="B192" s="8" t="str">
        <f>'Data Mentah'!D192</f>
        <v>Senior Account Executive</v>
      </c>
      <c r="C192" s="22">
        <f>'Data Mentah'!A192</f>
        <v>39</v>
      </c>
      <c r="D192" s="11" t="str">
        <f>'Data Mentah'!B192</f>
        <v>Female</v>
      </c>
      <c r="E192" s="11" t="str">
        <f>'Data Mentah'!C192</f>
        <v>Bachelor's</v>
      </c>
      <c r="F192" s="23">
        <f>'Data Mentah'!E192</f>
        <v>12</v>
      </c>
      <c r="G192" s="24">
        <f>'Data Mentah'!F192</f>
        <v>95000</v>
      </c>
      <c r="H192" s="25">
        <f t="shared" si="10"/>
        <v>5.8</v>
      </c>
      <c r="I192" s="25">
        <f t="shared" si="11"/>
        <v>1</v>
      </c>
      <c r="J192" s="25">
        <f t="shared" si="12"/>
        <v>5.32</v>
      </c>
      <c r="K192" s="25">
        <f t="shared" si="13"/>
        <v>4.4121770478670133</v>
      </c>
      <c r="L192" s="25">
        <f t="shared" si="14"/>
        <v>10</v>
      </c>
    </row>
    <row r="193" spans="1:12" ht="15" customHeight="1" x14ac:dyDescent="0.35">
      <c r="A193" s="14">
        <v>191</v>
      </c>
      <c r="B193" s="17" t="str">
        <f>'Data Mentah'!D193</f>
        <v>Director of Business Development</v>
      </c>
      <c r="C193" s="18">
        <f>'Data Mentah'!A193</f>
        <v>47</v>
      </c>
      <c r="D193" s="14" t="str">
        <f>'Data Mentah'!B193</f>
        <v>Male</v>
      </c>
      <c r="E193" s="14" t="str">
        <f>'Data Mentah'!C193</f>
        <v>Master's</v>
      </c>
      <c r="F193" s="19">
        <f>'Data Mentah'!E193</f>
        <v>19</v>
      </c>
      <c r="G193" s="20">
        <f>'Data Mentah'!F193</f>
        <v>170000</v>
      </c>
      <c r="H193" s="21">
        <f t="shared" si="10"/>
        <v>8.1999999999999993</v>
      </c>
      <c r="I193" s="21">
        <f t="shared" si="11"/>
        <v>5.5</v>
      </c>
      <c r="J193" s="21">
        <f t="shared" si="12"/>
        <v>7.84</v>
      </c>
      <c r="K193" s="21">
        <f t="shared" si="13"/>
        <v>7.1159623472862004</v>
      </c>
      <c r="L193" s="21">
        <f t="shared" si="14"/>
        <v>1</v>
      </c>
    </row>
    <row r="194" spans="1:12" ht="15" customHeight="1" x14ac:dyDescent="0.35">
      <c r="A194" s="11">
        <v>192</v>
      </c>
      <c r="B194" s="8" t="str">
        <f>'Data Mentah'!D194</f>
        <v>Junior Social Media Manager</v>
      </c>
      <c r="C194" s="22">
        <f>'Data Mentah'!A194</f>
        <v>30</v>
      </c>
      <c r="D194" s="11" t="str">
        <f>'Data Mentah'!B194</f>
        <v>Female</v>
      </c>
      <c r="E194" s="11" t="str">
        <f>'Data Mentah'!C194</f>
        <v>Bachelor's</v>
      </c>
      <c r="F194" s="23">
        <f>'Data Mentah'!E194</f>
        <v>3</v>
      </c>
      <c r="G194" s="24">
        <f>'Data Mentah'!F194</f>
        <v>45000</v>
      </c>
      <c r="H194" s="25">
        <f t="shared" si="10"/>
        <v>3.1</v>
      </c>
      <c r="I194" s="25">
        <f t="shared" si="11"/>
        <v>1</v>
      </c>
      <c r="J194" s="25">
        <f t="shared" si="12"/>
        <v>2.08</v>
      </c>
      <c r="K194" s="25">
        <f t="shared" si="13"/>
        <v>2.6096535149208893</v>
      </c>
      <c r="L194" s="25">
        <f t="shared" si="14"/>
        <v>10</v>
      </c>
    </row>
    <row r="195" spans="1:12" ht="15" customHeight="1" x14ac:dyDescent="0.35">
      <c r="A195" s="14">
        <v>193</v>
      </c>
      <c r="B195" s="17" t="str">
        <f>'Data Mentah'!D195</f>
        <v>Senior Product Manager</v>
      </c>
      <c r="C195" s="18">
        <f>'Data Mentah'!A195</f>
        <v>34</v>
      </c>
      <c r="D195" s="14" t="str">
        <f>'Data Mentah'!B195</f>
        <v>Male</v>
      </c>
      <c r="E195" s="14" t="str">
        <f>'Data Mentah'!C195</f>
        <v>Bachelor's</v>
      </c>
      <c r="F195" s="19">
        <f>'Data Mentah'!E195</f>
        <v>7</v>
      </c>
      <c r="G195" s="20">
        <f>'Data Mentah'!F195</f>
        <v>95000</v>
      </c>
      <c r="H195" s="21">
        <f t="shared" ref="H195:H258" si="15">IF(MAX($C$3:$C$375)=MIN($C$3:$C$375),5,1+9*(C195-MIN($C$3:$C$375))/(MAX($C$3:$C$375)-MIN($C$3:$C$375)))</f>
        <v>4.3</v>
      </c>
      <c r="I195" s="21">
        <f t="shared" ref="I195:I258" si="16">1+9*(IF(E195="PhD",3,IF(E195="Master's",2,1))-1)/(3-1)</f>
        <v>1</v>
      </c>
      <c r="J195" s="21">
        <f t="shared" ref="J195:J258" si="17">IF(MAX($F$3:$F$375)=MIN($F$3:$F$375),5,1+9*(F195-MIN($F$3:$F$375))/(MAX($F$3:$F$375)-MIN($F$3:$F$375)))</f>
        <v>3.52</v>
      </c>
      <c r="K195" s="21">
        <f t="shared" ref="K195:K258" si="18">IF(MAX($G$3:$G$375)=MIN($G$3:$G$375),5,1+9*(G195-MIN($G$3:$G$375))/(MAX($G$3:$G$375)-MIN($G$3:$G$375)))</f>
        <v>4.4121770478670133</v>
      </c>
      <c r="L195" s="21">
        <f t="shared" ref="L195:L258" si="19">1+9*(IF(D195="Female",2,IF(D195="Male",1,1.5))-1)/(2-1)</f>
        <v>1</v>
      </c>
    </row>
    <row r="196" spans="1:12" ht="15" customHeight="1" x14ac:dyDescent="0.35">
      <c r="A196" s="11">
        <v>194</v>
      </c>
      <c r="B196" s="8" t="str">
        <f>'Data Mentah'!D196</f>
        <v>Senior Human Resources Specialist</v>
      </c>
      <c r="C196" s="22">
        <f>'Data Mentah'!A196</f>
        <v>40</v>
      </c>
      <c r="D196" s="11" t="str">
        <f>'Data Mentah'!B196</f>
        <v>Female</v>
      </c>
      <c r="E196" s="11" t="str">
        <f>'Data Mentah'!C196</f>
        <v>Master's</v>
      </c>
      <c r="F196" s="23">
        <f>'Data Mentah'!E196</f>
        <v>13</v>
      </c>
      <c r="G196" s="24">
        <f>'Data Mentah'!F196</f>
        <v>120000</v>
      </c>
      <c r="H196" s="25">
        <f t="shared" si="15"/>
        <v>6.1</v>
      </c>
      <c r="I196" s="25">
        <f t="shared" si="16"/>
        <v>5.5</v>
      </c>
      <c r="J196" s="25">
        <f t="shared" si="17"/>
        <v>5.68</v>
      </c>
      <c r="K196" s="25">
        <f t="shared" si="18"/>
        <v>5.3134388143400759</v>
      </c>
      <c r="L196" s="25">
        <f t="shared" si="19"/>
        <v>10</v>
      </c>
    </row>
    <row r="197" spans="1:12" ht="15" customHeight="1" x14ac:dyDescent="0.35">
      <c r="A197" s="14">
        <v>195</v>
      </c>
      <c r="B197" s="17" t="str">
        <f>'Data Mentah'!D197</f>
        <v>Junior Business Analyst</v>
      </c>
      <c r="C197" s="18">
        <f>'Data Mentah'!A197</f>
        <v>28</v>
      </c>
      <c r="D197" s="14" t="str">
        <f>'Data Mentah'!B197</f>
        <v>Male</v>
      </c>
      <c r="E197" s="14" t="str">
        <f>'Data Mentah'!C197</f>
        <v>Bachelor's</v>
      </c>
      <c r="F197" s="19">
        <f>'Data Mentah'!E197</f>
        <v>2</v>
      </c>
      <c r="G197" s="20">
        <f>'Data Mentah'!F197</f>
        <v>40000</v>
      </c>
      <c r="H197" s="21">
        <f t="shared" si="15"/>
        <v>2.5</v>
      </c>
      <c r="I197" s="21">
        <f t="shared" si="16"/>
        <v>1</v>
      </c>
      <c r="J197" s="21">
        <f t="shared" si="17"/>
        <v>1.72</v>
      </c>
      <c r="K197" s="21">
        <f t="shared" si="18"/>
        <v>2.4294011616262767</v>
      </c>
      <c r="L197" s="21">
        <f t="shared" si="19"/>
        <v>1</v>
      </c>
    </row>
    <row r="198" spans="1:12" ht="15" customHeight="1" x14ac:dyDescent="0.35">
      <c r="A198" s="11">
        <v>196</v>
      </c>
      <c r="B198" s="8" t="str">
        <f>'Data Mentah'!D198</f>
        <v>Senior Marketing Coordinator</v>
      </c>
      <c r="C198" s="22">
        <f>'Data Mentah'!A198</f>
        <v>41</v>
      </c>
      <c r="D198" s="11" t="str">
        <f>'Data Mentah'!B198</f>
        <v>Female</v>
      </c>
      <c r="E198" s="11" t="str">
        <f>'Data Mentah'!C198</f>
        <v>Bachelor's</v>
      </c>
      <c r="F198" s="23">
        <f>'Data Mentah'!E198</f>
        <v>11</v>
      </c>
      <c r="G198" s="24">
        <f>'Data Mentah'!F198</f>
        <v>90000</v>
      </c>
      <c r="H198" s="25">
        <f t="shared" si="15"/>
        <v>6.4</v>
      </c>
      <c r="I198" s="25">
        <f t="shared" si="16"/>
        <v>1</v>
      </c>
      <c r="J198" s="25">
        <f t="shared" si="17"/>
        <v>4.96</v>
      </c>
      <c r="K198" s="25">
        <f t="shared" si="18"/>
        <v>4.2319246945724007</v>
      </c>
      <c r="L198" s="25">
        <f t="shared" si="19"/>
        <v>10</v>
      </c>
    </row>
    <row r="199" spans="1:12" ht="15" customHeight="1" x14ac:dyDescent="0.35">
      <c r="A199" s="14">
        <v>197</v>
      </c>
      <c r="B199" s="17" t="str">
        <f>'Data Mentah'!D199</f>
        <v>Senior Data Analyst</v>
      </c>
      <c r="C199" s="18">
        <f>'Data Mentah'!A199</f>
        <v>45</v>
      </c>
      <c r="D199" s="14" t="str">
        <f>'Data Mentah'!B199</f>
        <v>Male</v>
      </c>
      <c r="E199" s="14" t="str">
        <f>'Data Mentah'!C199</f>
        <v>PhD</v>
      </c>
      <c r="F199" s="19">
        <f>'Data Mentah'!E199</f>
        <v>17</v>
      </c>
      <c r="G199" s="20">
        <f>'Data Mentah'!F199</f>
        <v>155000</v>
      </c>
      <c r="H199" s="21">
        <f t="shared" si="15"/>
        <v>7.6</v>
      </c>
      <c r="I199" s="21">
        <f t="shared" si="16"/>
        <v>10</v>
      </c>
      <c r="J199" s="21">
        <f t="shared" si="17"/>
        <v>7.12</v>
      </c>
      <c r="K199" s="21">
        <f t="shared" si="18"/>
        <v>6.5752052874023637</v>
      </c>
      <c r="L199" s="21">
        <f t="shared" si="19"/>
        <v>1</v>
      </c>
    </row>
    <row r="200" spans="1:12" ht="15" customHeight="1" x14ac:dyDescent="0.35">
      <c r="A200" s="11">
        <v>198</v>
      </c>
      <c r="B200" s="8" t="str">
        <f>'Data Mentah'!D200</f>
        <v>Junior Account Manager</v>
      </c>
      <c r="C200" s="22">
        <f>'Data Mentah'!A200</f>
        <v>32</v>
      </c>
      <c r="D200" s="11" t="str">
        <f>'Data Mentah'!B200</f>
        <v>Female</v>
      </c>
      <c r="E200" s="11" t="str">
        <f>'Data Mentah'!C200</f>
        <v>Bachelor's</v>
      </c>
      <c r="F200" s="23">
        <f>'Data Mentah'!E200</f>
        <v>5</v>
      </c>
      <c r="G200" s="24">
        <f>'Data Mentah'!F200</f>
        <v>55000</v>
      </c>
      <c r="H200" s="25">
        <f t="shared" si="15"/>
        <v>3.7</v>
      </c>
      <c r="I200" s="25">
        <f t="shared" si="16"/>
        <v>1</v>
      </c>
      <c r="J200" s="25">
        <f t="shared" si="17"/>
        <v>2.8</v>
      </c>
      <c r="K200" s="25">
        <f t="shared" si="18"/>
        <v>2.9701582215101139</v>
      </c>
      <c r="L200" s="25">
        <f t="shared" si="19"/>
        <v>10</v>
      </c>
    </row>
    <row r="201" spans="1:12" ht="15" customHeight="1" x14ac:dyDescent="0.35">
      <c r="A201" s="14">
        <v>199</v>
      </c>
      <c r="B201" s="17" t="str">
        <f>'Data Mentah'!D201</f>
        <v>Senior Software Developer</v>
      </c>
      <c r="C201" s="18">
        <f>'Data Mentah'!A201</f>
        <v>35</v>
      </c>
      <c r="D201" s="14" t="str">
        <f>'Data Mentah'!B201</f>
        <v>Male</v>
      </c>
      <c r="E201" s="14" t="str">
        <f>'Data Mentah'!C201</f>
        <v>Master's</v>
      </c>
      <c r="F201" s="19">
        <f>'Data Mentah'!E201</f>
        <v>9</v>
      </c>
      <c r="G201" s="20">
        <f>'Data Mentah'!F201</f>
        <v>110000</v>
      </c>
      <c r="H201" s="21">
        <f t="shared" si="15"/>
        <v>4.5999999999999996</v>
      </c>
      <c r="I201" s="21">
        <f t="shared" si="16"/>
        <v>5.5</v>
      </c>
      <c r="J201" s="21">
        <f t="shared" si="17"/>
        <v>4.24</v>
      </c>
      <c r="K201" s="21">
        <f t="shared" si="18"/>
        <v>4.9529341077508509</v>
      </c>
      <c r="L201" s="21">
        <f t="shared" si="19"/>
        <v>1</v>
      </c>
    </row>
    <row r="202" spans="1:12" ht="15" customHeight="1" x14ac:dyDescent="0.35">
      <c r="A202" s="11">
        <v>200</v>
      </c>
      <c r="B202" s="8" t="str">
        <f>'Data Mentah'!D202</f>
        <v>Director of Human Capital</v>
      </c>
      <c r="C202" s="22">
        <f>'Data Mentah'!A202</f>
        <v>49</v>
      </c>
      <c r="D202" s="11" t="str">
        <f>'Data Mentah'!B202</f>
        <v>Female</v>
      </c>
      <c r="E202" s="11" t="str">
        <f>'Data Mentah'!C202</f>
        <v>Master's</v>
      </c>
      <c r="F202" s="23">
        <f>'Data Mentah'!E202</f>
        <v>21</v>
      </c>
      <c r="G202" s="24">
        <f>'Data Mentah'!F202</f>
        <v>180000</v>
      </c>
      <c r="H202" s="25">
        <f t="shared" si="15"/>
        <v>8.8000000000000007</v>
      </c>
      <c r="I202" s="25">
        <f t="shared" si="16"/>
        <v>5.5</v>
      </c>
      <c r="J202" s="25">
        <f t="shared" si="17"/>
        <v>8.5599999999999987</v>
      </c>
      <c r="K202" s="25">
        <f t="shared" si="18"/>
        <v>7.4764670538754254</v>
      </c>
      <c r="L202" s="25">
        <f t="shared" si="19"/>
        <v>10</v>
      </c>
    </row>
    <row r="203" spans="1:12" ht="15" customHeight="1" x14ac:dyDescent="0.35">
      <c r="A203" s="14">
        <v>201</v>
      </c>
      <c r="B203" s="17" t="str">
        <f>'Data Mentah'!D203</f>
        <v>Junior Advertising Coordinator</v>
      </c>
      <c r="C203" s="18">
        <f>'Data Mentah'!A203</f>
        <v>30</v>
      </c>
      <c r="D203" s="14" t="str">
        <f>'Data Mentah'!B203</f>
        <v>Male</v>
      </c>
      <c r="E203" s="14" t="str">
        <f>'Data Mentah'!C203</f>
        <v>Bachelor's</v>
      </c>
      <c r="F203" s="19">
        <f>'Data Mentah'!E203</f>
        <v>3</v>
      </c>
      <c r="G203" s="20">
        <f>'Data Mentah'!F203</f>
        <v>45000</v>
      </c>
      <c r="H203" s="21">
        <f t="shared" si="15"/>
        <v>3.1</v>
      </c>
      <c r="I203" s="21">
        <f t="shared" si="16"/>
        <v>1</v>
      </c>
      <c r="J203" s="21">
        <f t="shared" si="17"/>
        <v>2.08</v>
      </c>
      <c r="K203" s="21">
        <f t="shared" si="18"/>
        <v>2.6096535149208893</v>
      </c>
      <c r="L203" s="21">
        <f t="shared" si="19"/>
        <v>1</v>
      </c>
    </row>
    <row r="204" spans="1:12" ht="15" customHeight="1" x14ac:dyDescent="0.35">
      <c r="A204" s="11">
        <v>202</v>
      </c>
      <c r="B204" s="8" t="str">
        <f>'Data Mentah'!D204</f>
        <v>Senior Sales Manager</v>
      </c>
      <c r="C204" s="22">
        <f>'Data Mentah'!A204</f>
        <v>44</v>
      </c>
      <c r="D204" s="11" t="str">
        <f>'Data Mentah'!B204</f>
        <v>Male</v>
      </c>
      <c r="E204" s="11" t="str">
        <f>'Data Mentah'!C204</f>
        <v>Bachelor's</v>
      </c>
      <c r="F204" s="23">
        <f>'Data Mentah'!E204</f>
        <v>16</v>
      </c>
      <c r="G204" s="24">
        <f>'Data Mentah'!F204</f>
        <v>130000</v>
      </c>
      <c r="H204" s="25">
        <f t="shared" si="15"/>
        <v>7.3</v>
      </c>
      <c r="I204" s="25">
        <f t="shared" si="16"/>
        <v>1</v>
      </c>
      <c r="J204" s="25">
        <f t="shared" si="17"/>
        <v>6.76</v>
      </c>
      <c r="K204" s="25">
        <f t="shared" si="18"/>
        <v>5.673943520929301</v>
      </c>
      <c r="L204" s="25">
        <f t="shared" si="19"/>
        <v>1</v>
      </c>
    </row>
    <row r="205" spans="1:12" ht="15" customHeight="1" x14ac:dyDescent="0.35">
      <c r="A205" s="14">
        <v>203</v>
      </c>
      <c r="B205" s="17" t="str">
        <f>'Data Mentah'!D205</f>
        <v>Junior UX Designer</v>
      </c>
      <c r="C205" s="18">
        <f>'Data Mentah'!A205</f>
        <v>27</v>
      </c>
      <c r="D205" s="14" t="str">
        <f>'Data Mentah'!B205</f>
        <v>Female</v>
      </c>
      <c r="E205" s="14" t="str">
        <f>'Data Mentah'!C205</f>
        <v>Master's</v>
      </c>
      <c r="F205" s="19">
        <f>'Data Mentah'!E205</f>
        <v>1.5</v>
      </c>
      <c r="G205" s="20">
        <f>'Data Mentah'!F205</f>
        <v>45000</v>
      </c>
      <c r="H205" s="21">
        <f t="shared" si="15"/>
        <v>2.2000000000000002</v>
      </c>
      <c r="I205" s="21">
        <f t="shared" si="16"/>
        <v>5.5</v>
      </c>
      <c r="J205" s="21">
        <f t="shared" si="17"/>
        <v>1.54</v>
      </c>
      <c r="K205" s="21">
        <f t="shared" si="18"/>
        <v>2.6096535149208893</v>
      </c>
      <c r="L205" s="21">
        <f t="shared" si="19"/>
        <v>10</v>
      </c>
    </row>
    <row r="206" spans="1:12" ht="15" customHeight="1" x14ac:dyDescent="0.35">
      <c r="A206" s="11">
        <v>204</v>
      </c>
      <c r="B206" s="8" t="str">
        <f>'Data Mentah'!D206</f>
        <v>Senior Accountant</v>
      </c>
      <c r="C206" s="22">
        <f>'Data Mentah'!A206</f>
        <v>36</v>
      </c>
      <c r="D206" s="11" t="str">
        <f>'Data Mentah'!B206</f>
        <v>Male</v>
      </c>
      <c r="E206" s="11" t="str">
        <f>'Data Mentah'!C206</f>
        <v>Bachelor's</v>
      </c>
      <c r="F206" s="23">
        <f>'Data Mentah'!E206</f>
        <v>7</v>
      </c>
      <c r="G206" s="24">
        <f>'Data Mentah'!F206</f>
        <v>90000</v>
      </c>
      <c r="H206" s="25">
        <f t="shared" si="15"/>
        <v>4.9000000000000004</v>
      </c>
      <c r="I206" s="25">
        <f t="shared" si="16"/>
        <v>1</v>
      </c>
      <c r="J206" s="25">
        <f t="shared" si="17"/>
        <v>3.52</v>
      </c>
      <c r="K206" s="25">
        <f t="shared" si="18"/>
        <v>4.2319246945724007</v>
      </c>
      <c r="L206" s="25">
        <f t="shared" si="19"/>
        <v>1</v>
      </c>
    </row>
    <row r="207" spans="1:12" ht="15" customHeight="1" x14ac:dyDescent="0.35">
      <c r="A207" s="14">
        <v>205</v>
      </c>
      <c r="B207" s="17" t="str">
        <f>'Data Mentah'!D207</f>
        <v>Senior Marketing Director</v>
      </c>
      <c r="C207" s="18">
        <f>'Data Mentah'!A207</f>
        <v>41</v>
      </c>
      <c r="D207" s="14" t="str">
        <f>'Data Mentah'!B207</f>
        <v>Female</v>
      </c>
      <c r="E207" s="14" t="str">
        <f>'Data Mentah'!C207</f>
        <v>PhD</v>
      </c>
      <c r="F207" s="19">
        <f>'Data Mentah'!E207</f>
        <v>17</v>
      </c>
      <c r="G207" s="20">
        <f>'Data Mentah'!F207</f>
        <v>160000</v>
      </c>
      <c r="H207" s="21">
        <f t="shared" si="15"/>
        <v>6.4</v>
      </c>
      <c r="I207" s="21">
        <f t="shared" si="16"/>
        <v>10</v>
      </c>
      <c r="J207" s="21">
        <f t="shared" si="17"/>
        <v>7.12</v>
      </c>
      <c r="K207" s="21">
        <f t="shared" si="18"/>
        <v>6.7554576406969762</v>
      </c>
      <c r="L207" s="21">
        <f t="shared" si="19"/>
        <v>10</v>
      </c>
    </row>
    <row r="208" spans="1:12" ht="15" customHeight="1" x14ac:dyDescent="0.35">
      <c r="A208" s="11">
        <v>206</v>
      </c>
      <c r="B208" s="8" t="str">
        <f>'Data Mentah'!D208</f>
        <v>Junior HR Generalist</v>
      </c>
      <c r="C208" s="22">
        <f>'Data Mentah'!A208</f>
        <v>31</v>
      </c>
      <c r="D208" s="11" t="str">
        <f>'Data Mentah'!B208</f>
        <v>Male</v>
      </c>
      <c r="E208" s="11" t="str">
        <f>'Data Mentah'!C208</f>
        <v>Bachelor's</v>
      </c>
      <c r="F208" s="23">
        <f>'Data Mentah'!E208</f>
        <v>4</v>
      </c>
      <c r="G208" s="24">
        <f>'Data Mentah'!F208</f>
        <v>50000</v>
      </c>
      <c r="H208" s="25">
        <f t="shared" si="15"/>
        <v>3.4</v>
      </c>
      <c r="I208" s="25">
        <f t="shared" si="16"/>
        <v>1</v>
      </c>
      <c r="J208" s="25">
        <f t="shared" si="17"/>
        <v>2.44</v>
      </c>
      <c r="K208" s="25">
        <f t="shared" si="18"/>
        <v>2.7899058682155018</v>
      </c>
      <c r="L208" s="25">
        <f t="shared" si="19"/>
        <v>1</v>
      </c>
    </row>
    <row r="209" spans="1:12" ht="15" customHeight="1" x14ac:dyDescent="0.35">
      <c r="A209" s="14">
        <v>207</v>
      </c>
      <c r="B209" s="17" t="str">
        <f>'Data Mentah'!D209</f>
        <v>Senior Operations Manager</v>
      </c>
      <c r="C209" s="18">
        <f>'Data Mentah'!A209</f>
        <v>39</v>
      </c>
      <c r="D209" s="14" t="str">
        <f>'Data Mentah'!B209</f>
        <v>Female</v>
      </c>
      <c r="E209" s="14" t="str">
        <f>'Data Mentah'!C209</f>
        <v>Bachelor's</v>
      </c>
      <c r="F209" s="19">
        <f>'Data Mentah'!E209</f>
        <v>10</v>
      </c>
      <c r="G209" s="20">
        <f>'Data Mentah'!F209</f>
        <v>120000</v>
      </c>
      <c r="H209" s="21">
        <f t="shared" si="15"/>
        <v>5.8</v>
      </c>
      <c r="I209" s="21">
        <f t="shared" si="16"/>
        <v>1</v>
      </c>
      <c r="J209" s="21">
        <f t="shared" si="17"/>
        <v>4.5999999999999996</v>
      </c>
      <c r="K209" s="21">
        <f t="shared" si="18"/>
        <v>5.3134388143400759</v>
      </c>
      <c r="L209" s="21">
        <f t="shared" si="19"/>
        <v>10</v>
      </c>
    </row>
    <row r="210" spans="1:12" ht="15" customHeight="1" x14ac:dyDescent="0.35">
      <c r="A210" s="11">
        <v>208</v>
      </c>
      <c r="B210" s="8" t="str">
        <f>'Data Mentah'!D210</f>
        <v>Director of Finance</v>
      </c>
      <c r="C210" s="22">
        <f>'Data Mentah'!A210</f>
        <v>47</v>
      </c>
      <c r="D210" s="11" t="str">
        <f>'Data Mentah'!B210</f>
        <v>Male</v>
      </c>
      <c r="E210" s="11" t="str">
        <f>'Data Mentah'!C210</f>
        <v>Master's</v>
      </c>
      <c r="F210" s="23">
        <f>'Data Mentah'!E210</f>
        <v>20</v>
      </c>
      <c r="G210" s="24">
        <f>'Data Mentah'!F210</f>
        <v>170000</v>
      </c>
      <c r="H210" s="25">
        <f t="shared" si="15"/>
        <v>8.1999999999999993</v>
      </c>
      <c r="I210" s="25">
        <f t="shared" si="16"/>
        <v>5.5</v>
      </c>
      <c r="J210" s="25">
        <f t="shared" si="17"/>
        <v>8.1999999999999993</v>
      </c>
      <c r="K210" s="25">
        <f t="shared" si="18"/>
        <v>7.1159623472862004</v>
      </c>
      <c r="L210" s="25">
        <f t="shared" si="19"/>
        <v>1</v>
      </c>
    </row>
    <row r="211" spans="1:12" ht="15" customHeight="1" x14ac:dyDescent="0.35">
      <c r="A211" s="14">
        <v>209</v>
      </c>
      <c r="B211" s="17" t="str">
        <f>'Data Mentah'!D211</f>
        <v>Junior Marketing Coordinator</v>
      </c>
      <c r="C211" s="18">
        <f>'Data Mentah'!A211</f>
        <v>30</v>
      </c>
      <c r="D211" s="14" t="str">
        <f>'Data Mentah'!B211</f>
        <v>Female</v>
      </c>
      <c r="E211" s="14" t="str">
        <f>'Data Mentah'!C211</f>
        <v>Bachelor's</v>
      </c>
      <c r="F211" s="19">
        <f>'Data Mentah'!E211</f>
        <v>2</v>
      </c>
      <c r="G211" s="20">
        <f>'Data Mentah'!F211</f>
        <v>40000</v>
      </c>
      <c r="H211" s="21">
        <f t="shared" si="15"/>
        <v>3.1</v>
      </c>
      <c r="I211" s="21">
        <f t="shared" si="16"/>
        <v>1</v>
      </c>
      <c r="J211" s="21">
        <f t="shared" si="17"/>
        <v>1.72</v>
      </c>
      <c r="K211" s="21">
        <f t="shared" si="18"/>
        <v>2.4294011616262767</v>
      </c>
      <c r="L211" s="21">
        <f t="shared" si="19"/>
        <v>10</v>
      </c>
    </row>
    <row r="212" spans="1:12" ht="15" customHeight="1" x14ac:dyDescent="0.35">
      <c r="A212" s="11">
        <v>210</v>
      </c>
      <c r="B212" s="8" t="str">
        <f>'Data Mentah'!D212</f>
        <v>Senior IT Consultant</v>
      </c>
      <c r="C212" s="22">
        <f>'Data Mentah'!A212</f>
        <v>38</v>
      </c>
      <c r="D212" s="11" t="str">
        <f>'Data Mentah'!B212</f>
        <v>Male</v>
      </c>
      <c r="E212" s="11" t="str">
        <f>'Data Mentah'!C212</f>
        <v>Master's</v>
      </c>
      <c r="F212" s="23">
        <f>'Data Mentah'!E212</f>
        <v>9</v>
      </c>
      <c r="G212" s="24">
        <f>'Data Mentah'!F212</f>
        <v>110000</v>
      </c>
      <c r="H212" s="25">
        <f t="shared" si="15"/>
        <v>5.5</v>
      </c>
      <c r="I212" s="25">
        <f t="shared" si="16"/>
        <v>5.5</v>
      </c>
      <c r="J212" s="25">
        <f t="shared" si="17"/>
        <v>4.24</v>
      </c>
      <c r="K212" s="25">
        <f t="shared" si="18"/>
        <v>4.9529341077508509</v>
      </c>
      <c r="L212" s="25">
        <f t="shared" si="19"/>
        <v>1</v>
      </c>
    </row>
    <row r="213" spans="1:12" ht="15" customHeight="1" x14ac:dyDescent="0.35">
      <c r="A213" s="14">
        <v>211</v>
      </c>
      <c r="B213" s="17" t="str">
        <f>'Data Mentah'!D213</f>
        <v>Senior Product Designer</v>
      </c>
      <c r="C213" s="18">
        <f>'Data Mentah'!A213</f>
        <v>45</v>
      </c>
      <c r="D213" s="14" t="str">
        <f>'Data Mentah'!B213</f>
        <v>Female</v>
      </c>
      <c r="E213" s="14" t="str">
        <f>'Data Mentah'!C213</f>
        <v>PhD</v>
      </c>
      <c r="F213" s="19">
        <f>'Data Mentah'!E213</f>
        <v>15</v>
      </c>
      <c r="G213" s="20">
        <f>'Data Mentah'!F213</f>
        <v>150000</v>
      </c>
      <c r="H213" s="21">
        <f t="shared" si="15"/>
        <v>7.6</v>
      </c>
      <c r="I213" s="21">
        <f t="shared" si="16"/>
        <v>10</v>
      </c>
      <c r="J213" s="21">
        <f t="shared" si="17"/>
        <v>6.4</v>
      </c>
      <c r="K213" s="21">
        <f t="shared" si="18"/>
        <v>6.3949529341077511</v>
      </c>
      <c r="L213" s="21">
        <f t="shared" si="19"/>
        <v>10</v>
      </c>
    </row>
    <row r="214" spans="1:12" ht="15" customHeight="1" x14ac:dyDescent="0.35">
      <c r="A214" s="11">
        <v>212</v>
      </c>
      <c r="B214" s="8" t="str">
        <f>'Data Mentah'!D214</f>
        <v>Junior Business Development Associate</v>
      </c>
      <c r="C214" s="22">
        <f>'Data Mentah'!A214</f>
        <v>28</v>
      </c>
      <c r="D214" s="11" t="str">
        <f>'Data Mentah'!B214</f>
        <v>Male</v>
      </c>
      <c r="E214" s="11" t="str">
        <f>'Data Mentah'!C214</f>
        <v>Bachelor's</v>
      </c>
      <c r="F214" s="23">
        <f>'Data Mentah'!E214</f>
        <v>2</v>
      </c>
      <c r="G214" s="24">
        <f>'Data Mentah'!F214</f>
        <v>40000</v>
      </c>
      <c r="H214" s="25">
        <f t="shared" si="15"/>
        <v>2.5</v>
      </c>
      <c r="I214" s="25">
        <f t="shared" si="16"/>
        <v>1</v>
      </c>
      <c r="J214" s="25">
        <f t="shared" si="17"/>
        <v>1.72</v>
      </c>
      <c r="K214" s="25">
        <f t="shared" si="18"/>
        <v>2.4294011616262767</v>
      </c>
      <c r="L214" s="25">
        <f t="shared" si="19"/>
        <v>1</v>
      </c>
    </row>
    <row r="215" spans="1:12" ht="15" customHeight="1" x14ac:dyDescent="0.35">
      <c r="A215" s="14">
        <v>213</v>
      </c>
      <c r="B215" s="17" t="str">
        <f>'Data Mentah'!D215</f>
        <v>Senior Marketing Analyst</v>
      </c>
      <c r="C215" s="18">
        <f>'Data Mentah'!A215</f>
        <v>35</v>
      </c>
      <c r="D215" s="14" t="str">
        <f>'Data Mentah'!B215</f>
        <v>Female</v>
      </c>
      <c r="E215" s="14" t="str">
        <f>'Data Mentah'!C215</f>
        <v>Bachelor's</v>
      </c>
      <c r="F215" s="19">
        <f>'Data Mentah'!E215</f>
        <v>8</v>
      </c>
      <c r="G215" s="20">
        <f>'Data Mentah'!F215</f>
        <v>85000</v>
      </c>
      <c r="H215" s="21">
        <f t="shared" si="15"/>
        <v>4.5999999999999996</v>
      </c>
      <c r="I215" s="21">
        <f t="shared" si="16"/>
        <v>1</v>
      </c>
      <c r="J215" s="21">
        <f t="shared" si="17"/>
        <v>3.88</v>
      </c>
      <c r="K215" s="21">
        <f t="shared" si="18"/>
        <v>4.0516723412777891</v>
      </c>
      <c r="L215" s="21">
        <f t="shared" si="19"/>
        <v>10</v>
      </c>
    </row>
    <row r="216" spans="1:12" ht="15" customHeight="1" x14ac:dyDescent="0.35">
      <c r="A216" s="11">
        <v>214</v>
      </c>
      <c r="B216" s="8" t="str">
        <f>'Data Mentah'!D216</f>
        <v>Senior Software Engineer</v>
      </c>
      <c r="C216" s="22">
        <f>'Data Mentah'!A216</f>
        <v>44</v>
      </c>
      <c r="D216" s="11" t="str">
        <f>'Data Mentah'!B216</f>
        <v>Male</v>
      </c>
      <c r="E216" s="11" t="str">
        <f>'Data Mentah'!C216</f>
        <v>Bachelor's</v>
      </c>
      <c r="F216" s="23">
        <f>'Data Mentah'!E216</f>
        <v>14</v>
      </c>
      <c r="G216" s="24">
        <f>'Data Mentah'!F216</f>
        <v>130000</v>
      </c>
      <c r="H216" s="25">
        <f t="shared" si="15"/>
        <v>7.3</v>
      </c>
      <c r="I216" s="25">
        <f t="shared" si="16"/>
        <v>1</v>
      </c>
      <c r="J216" s="25">
        <f t="shared" si="17"/>
        <v>6.04</v>
      </c>
      <c r="K216" s="25">
        <f t="shared" si="18"/>
        <v>5.673943520929301</v>
      </c>
      <c r="L216" s="25">
        <f t="shared" si="19"/>
        <v>1</v>
      </c>
    </row>
    <row r="217" spans="1:12" ht="15" customHeight="1" x14ac:dyDescent="0.35">
      <c r="A217" s="14">
        <v>215</v>
      </c>
      <c r="B217" s="17" t="str">
        <f>'Data Mentah'!D217</f>
        <v>Senior Financial Advisor</v>
      </c>
      <c r="C217" s="18">
        <f>'Data Mentah'!A217</f>
        <v>34</v>
      </c>
      <c r="D217" s="14" t="str">
        <f>'Data Mentah'!B217</f>
        <v>Female</v>
      </c>
      <c r="E217" s="14" t="str">
        <f>'Data Mentah'!C217</f>
        <v>Master's</v>
      </c>
      <c r="F217" s="19">
        <f>'Data Mentah'!E217</f>
        <v>6</v>
      </c>
      <c r="G217" s="20">
        <f>'Data Mentah'!F217</f>
        <v>100000</v>
      </c>
      <c r="H217" s="21">
        <f t="shared" si="15"/>
        <v>4.3</v>
      </c>
      <c r="I217" s="21">
        <f t="shared" si="16"/>
        <v>5.5</v>
      </c>
      <c r="J217" s="21">
        <f t="shared" si="17"/>
        <v>3.16</v>
      </c>
      <c r="K217" s="21">
        <f t="shared" si="18"/>
        <v>4.5924294011616258</v>
      </c>
      <c r="L217" s="21">
        <f t="shared" si="19"/>
        <v>10</v>
      </c>
    </row>
    <row r="218" spans="1:12" ht="15" customHeight="1" x14ac:dyDescent="0.35">
      <c r="A218" s="11">
        <v>216</v>
      </c>
      <c r="B218" s="8" t="str">
        <f>'Data Mentah'!D218</f>
        <v>Senior Project Coordinator</v>
      </c>
      <c r="C218" s="22">
        <f>'Data Mentah'!A218</f>
        <v>35</v>
      </c>
      <c r="D218" s="11" t="str">
        <f>'Data Mentah'!B218</f>
        <v>Male</v>
      </c>
      <c r="E218" s="11" t="str">
        <f>'Data Mentah'!C218</f>
        <v>Bachelor's</v>
      </c>
      <c r="F218" s="23">
        <f>'Data Mentah'!E218</f>
        <v>9</v>
      </c>
      <c r="G218" s="24">
        <f>'Data Mentah'!F218</f>
        <v>95000</v>
      </c>
      <c r="H218" s="25">
        <f t="shared" si="15"/>
        <v>4.5999999999999996</v>
      </c>
      <c r="I218" s="25">
        <f t="shared" si="16"/>
        <v>1</v>
      </c>
      <c r="J218" s="25">
        <f t="shared" si="17"/>
        <v>4.24</v>
      </c>
      <c r="K218" s="25">
        <f t="shared" si="18"/>
        <v>4.4121770478670133</v>
      </c>
      <c r="L218" s="25">
        <f t="shared" si="19"/>
        <v>1</v>
      </c>
    </row>
    <row r="219" spans="1:12" ht="15" customHeight="1" x14ac:dyDescent="0.35">
      <c r="A219" s="14">
        <v>217</v>
      </c>
      <c r="B219" s="17" t="str">
        <f>'Data Mentah'!D219</f>
        <v>Director of Operations</v>
      </c>
      <c r="C219" s="18">
        <f>'Data Mentah'!A219</f>
        <v>50</v>
      </c>
      <c r="D219" s="14" t="str">
        <f>'Data Mentah'!B219</f>
        <v>Female</v>
      </c>
      <c r="E219" s="14" t="str">
        <f>'Data Mentah'!C219</f>
        <v>PhD</v>
      </c>
      <c r="F219" s="19">
        <f>'Data Mentah'!E219</f>
        <v>22</v>
      </c>
      <c r="G219" s="20">
        <f>'Data Mentah'!F219</f>
        <v>180000</v>
      </c>
      <c r="H219" s="21">
        <f t="shared" si="15"/>
        <v>9.1</v>
      </c>
      <c r="I219" s="21">
        <f t="shared" si="16"/>
        <v>10</v>
      </c>
      <c r="J219" s="21">
        <f t="shared" si="17"/>
        <v>8.92</v>
      </c>
      <c r="K219" s="21">
        <f t="shared" si="18"/>
        <v>7.4764670538754254</v>
      </c>
      <c r="L219" s="21">
        <f t="shared" si="19"/>
        <v>10</v>
      </c>
    </row>
    <row r="220" spans="1:12" ht="15" customHeight="1" x14ac:dyDescent="0.35">
      <c r="A220" s="11">
        <v>218</v>
      </c>
      <c r="B220" s="8" t="str">
        <f>'Data Mentah'!D220</f>
        <v>Junior Business Operations Analyst</v>
      </c>
      <c r="C220" s="22">
        <f>'Data Mentah'!A220</f>
        <v>29</v>
      </c>
      <c r="D220" s="11" t="str">
        <f>'Data Mentah'!B220</f>
        <v>Male</v>
      </c>
      <c r="E220" s="11" t="str">
        <f>'Data Mentah'!C220</f>
        <v>Bachelor's</v>
      </c>
      <c r="F220" s="23">
        <f>'Data Mentah'!E220</f>
        <v>1.5</v>
      </c>
      <c r="G220" s="24">
        <f>'Data Mentah'!F220</f>
        <v>35000</v>
      </c>
      <c r="H220" s="25">
        <f t="shared" si="15"/>
        <v>2.8</v>
      </c>
      <c r="I220" s="25">
        <f t="shared" si="16"/>
        <v>1</v>
      </c>
      <c r="J220" s="25">
        <f t="shared" si="17"/>
        <v>1.54</v>
      </c>
      <c r="K220" s="25">
        <f t="shared" si="18"/>
        <v>2.2491488083316646</v>
      </c>
      <c r="L220" s="25">
        <f t="shared" si="19"/>
        <v>1</v>
      </c>
    </row>
    <row r="221" spans="1:12" ht="15" customHeight="1" x14ac:dyDescent="0.35">
      <c r="A221" s="14">
        <v>219</v>
      </c>
      <c r="B221" s="17" t="str">
        <f>'Data Mentah'!D221</f>
        <v>Senior Sales Representative</v>
      </c>
      <c r="C221" s="18">
        <f>'Data Mentah'!A221</f>
        <v>40</v>
      </c>
      <c r="D221" s="14" t="str">
        <f>'Data Mentah'!B221</f>
        <v>Female</v>
      </c>
      <c r="E221" s="14" t="str">
        <f>'Data Mentah'!C221</f>
        <v>Bachelor's</v>
      </c>
      <c r="F221" s="19">
        <f>'Data Mentah'!E221</f>
        <v>12</v>
      </c>
      <c r="G221" s="20">
        <f>'Data Mentah'!F221</f>
        <v>100000</v>
      </c>
      <c r="H221" s="21">
        <f t="shared" si="15"/>
        <v>6.1</v>
      </c>
      <c r="I221" s="21">
        <f t="shared" si="16"/>
        <v>1</v>
      </c>
      <c r="J221" s="21">
        <f t="shared" si="17"/>
        <v>5.32</v>
      </c>
      <c r="K221" s="21">
        <f t="shared" si="18"/>
        <v>4.5924294011616258</v>
      </c>
      <c r="L221" s="21">
        <f t="shared" si="19"/>
        <v>10</v>
      </c>
    </row>
    <row r="222" spans="1:12" ht="15" customHeight="1" x14ac:dyDescent="0.35">
      <c r="A222" s="11">
        <v>220</v>
      </c>
      <c r="B222" s="8" t="str">
        <f>'Data Mentah'!D222</f>
        <v>Director of Marketing</v>
      </c>
      <c r="C222" s="22">
        <f>'Data Mentah'!A222</f>
        <v>48</v>
      </c>
      <c r="D222" s="11" t="str">
        <f>'Data Mentah'!B222</f>
        <v>Male</v>
      </c>
      <c r="E222" s="11" t="str">
        <f>'Data Mentah'!C222</f>
        <v>Master's</v>
      </c>
      <c r="F222" s="23">
        <f>'Data Mentah'!E222</f>
        <v>19</v>
      </c>
      <c r="G222" s="24">
        <f>'Data Mentah'!F222</f>
        <v>170000</v>
      </c>
      <c r="H222" s="25">
        <f t="shared" si="15"/>
        <v>8.5</v>
      </c>
      <c r="I222" s="25">
        <f t="shared" si="16"/>
        <v>5.5</v>
      </c>
      <c r="J222" s="25">
        <f t="shared" si="17"/>
        <v>7.84</v>
      </c>
      <c r="K222" s="25">
        <f t="shared" si="18"/>
        <v>7.1159623472862004</v>
      </c>
      <c r="L222" s="25">
        <f t="shared" si="19"/>
        <v>1</v>
      </c>
    </row>
    <row r="223" spans="1:12" ht="15" customHeight="1" x14ac:dyDescent="0.35">
      <c r="A223" s="14">
        <v>221</v>
      </c>
      <c r="B223" s="17" t="str">
        <f>'Data Mentah'!D223</f>
        <v>Junior Social Media Specialist</v>
      </c>
      <c r="C223" s="18">
        <f>'Data Mentah'!A223</f>
        <v>31</v>
      </c>
      <c r="D223" s="14" t="str">
        <f>'Data Mentah'!B223</f>
        <v>Female</v>
      </c>
      <c r="E223" s="14" t="str">
        <f>'Data Mentah'!C223</f>
        <v>Bachelor's</v>
      </c>
      <c r="F223" s="19">
        <f>'Data Mentah'!E223</f>
        <v>3</v>
      </c>
      <c r="G223" s="20">
        <f>'Data Mentah'!F223</f>
        <v>45000</v>
      </c>
      <c r="H223" s="21">
        <f t="shared" si="15"/>
        <v>3.4</v>
      </c>
      <c r="I223" s="21">
        <f t="shared" si="16"/>
        <v>1</v>
      </c>
      <c r="J223" s="21">
        <f t="shared" si="17"/>
        <v>2.08</v>
      </c>
      <c r="K223" s="21">
        <f t="shared" si="18"/>
        <v>2.6096535149208893</v>
      </c>
      <c r="L223" s="21">
        <f t="shared" si="19"/>
        <v>10</v>
      </c>
    </row>
    <row r="224" spans="1:12" ht="15" customHeight="1" x14ac:dyDescent="0.35">
      <c r="A224" s="11">
        <v>222</v>
      </c>
      <c r="B224" s="8" t="str">
        <f>'Data Mentah'!D224</f>
        <v>Senior Product Development Manager</v>
      </c>
      <c r="C224" s="22">
        <f>'Data Mentah'!A224</f>
        <v>33</v>
      </c>
      <c r="D224" s="11" t="str">
        <f>'Data Mentah'!B224</f>
        <v>Male</v>
      </c>
      <c r="E224" s="11" t="str">
        <f>'Data Mentah'!C224</f>
        <v>Bachelor's</v>
      </c>
      <c r="F224" s="23">
        <f>'Data Mentah'!E224</f>
        <v>7</v>
      </c>
      <c r="G224" s="24">
        <f>'Data Mentah'!F224</f>
        <v>100000</v>
      </c>
      <c r="H224" s="25">
        <f t="shared" si="15"/>
        <v>4</v>
      </c>
      <c r="I224" s="25">
        <f t="shared" si="16"/>
        <v>1</v>
      </c>
      <c r="J224" s="25">
        <f t="shared" si="17"/>
        <v>3.52</v>
      </c>
      <c r="K224" s="25">
        <f t="shared" si="18"/>
        <v>4.5924294011616258</v>
      </c>
      <c r="L224" s="25">
        <f t="shared" si="19"/>
        <v>1</v>
      </c>
    </row>
    <row r="225" spans="1:12" ht="15" customHeight="1" x14ac:dyDescent="0.35">
      <c r="A225" s="14">
        <v>223</v>
      </c>
      <c r="B225" s="17" t="str">
        <f>'Data Mentah'!D225</f>
        <v>Senior Human Resources Manager</v>
      </c>
      <c r="C225" s="18">
        <f>'Data Mentah'!A225</f>
        <v>42</v>
      </c>
      <c r="D225" s="14" t="str">
        <f>'Data Mentah'!B225</f>
        <v>Female</v>
      </c>
      <c r="E225" s="14" t="str">
        <f>'Data Mentah'!C225</f>
        <v>Master's</v>
      </c>
      <c r="F225" s="19">
        <f>'Data Mentah'!E225</f>
        <v>13</v>
      </c>
      <c r="G225" s="20">
        <f>'Data Mentah'!F225</f>
        <v>140000</v>
      </c>
      <c r="H225" s="21">
        <f t="shared" si="15"/>
        <v>6.7</v>
      </c>
      <c r="I225" s="21">
        <f t="shared" si="16"/>
        <v>5.5</v>
      </c>
      <c r="J225" s="21">
        <f t="shared" si="17"/>
        <v>5.68</v>
      </c>
      <c r="K225" s="21">
        <f t="shared" si="18"/>
        <v>6.0344482275185261</v>
      </c>
      <c r="L225" s="21">
        <f t="shared" si="19"/>
        <v>10</v>
      </c>
    </row>
    <row r="226" spans="1:12" ht="15" customHeight="1" x14ac:dyDescent="0.35">
      <c r="A226" s="11">
        <v>224</v>
      </c>
      <c r="B226" s="8" t="str">
        <f>'Data Mentah'!D226</f>
        <v>Junior Financial Analyst</v>
      </c>
      <c r="C226" s="22">
        <f>'Data Mentah'!A226</f>
        <v>28</v>
      </c>
      <c r="D226" s="11" t="str">
        <f>'Data Mentah'!B226</f>
        <v>Male</v>
      </c>
      <c r="E226" s="11" t="str">
        <f>'Data Mentah'!C226</f>
        <v>Bachelor's</v>
      </c>
      <c r="F226" s="23">
        <f>'Data Mentah'!E226</f>
        <v>2</v>
      </c>
      <c r="G226" s="24">
        <f>'Data Mentah'!F226</f>
        <v>40000</v>
      </c>
      <c r="H226" s="25">
        <f t="shared" si="15"/>
        <v>2.5</v>
      </c>
      <c r="I226" s="25">
        <f t="shared" si="16"/>
        <v>1</v>
      </c>
      <c r="J226" s="25">
        <f t="shared" si="17"/>
        <v>1.72</v>
      </c>
      <c r="K226" s="25">
        <f t="shared" si="18"/>
        <v>2.4294011616262767</v>
      </c>
      <c r="L226" s="25">
        <f t="shared" si="19"/>
        <v>1</v>
      </c>
    </row>
    <row r="227" spans="1:12" ht="15" customHeight="1" x14ac:dyDescent="0.35">
      <c r="A227" s="14">
        <v>225</v>
      </c>
      <c r="B227" s="17" t="str">
        <f>'Data Mentah'!D227</f>
        <v>Senior Marketing Manager</v>
      </c>
      <c r="C227" s="18">
        <f>'Data Mentah'!A227</f>
        <v>40</v>
      </c>
      <c r="D227" s="14" t="str">
        <f>'Data Mentah'!B227</f>
        <v>Female</v>
      </c>
      <c r="E227" s="14" t="str">
        <f>'Data Mentah'!C227</f>
        <v>Bachelor's</v>
      </c>
      <c r="F227" s="19">
        <f>'Data Mentah'!E227</f>
        <v>11</v>
      </c>
      <c r="G227" s="20">
        <f>'Data Mentah'!F227</f>
        <v>105000</v>
      </c>
      <c r="H227" s="21">
        <f t="shared" si="15"/>
        <v>6.1</v>
      </c>
      <c r="I227" s="21">
        <f t="shared" si="16"/>
        <v>1</v>
      </c>
      <c r="J227" s="21">
        <f t="shared" si="17"/>
        <v>4.96</v>
      </c>
      <c r="K227" s="21">
        <f t="shared" si="18"/>
        <v>4.7726817544562383</v>
      </c>
      <c r="L227" s="21">
        <f t="shared" si="19"/>
        <v>10</v>
      </c>
    </row>
    <row r="228" spans="1:12" ht="15" customHeight="1" x14ac:dyDescent="0.35">
      <c r="A228" s="11">
        <v>226</v>
      </c>
      <c r="B228" s="8" t="str">
        <f>'Data Mentah'!D228</f>
        <v>Senior Data Scientist</v>
      </c>
      <c r="C228" s="22">
        <f>'Data Mentah'!A228</f>
        <v>46</v>
      </c>
      <c r="D228" s="11" t="str">
        <f>'Data Mentah'!B228</f>
        <v>Male</v>
      </c>
      <c r="E228" s="11" t="str">
        <f>'Data Mentah'!C228</f>
        <v>PhD</v>
      </c>
      <c r="F228" s="23">
        <f>'Data Mentah'!E228</f>
        <v>18</v>
      </c>
      <c r="G228" s="24">
        <f>'Data Mentah'!F228</f>
        <v>160000</v>
      </c>
      <c r="H228" s="25">
        <f t="shared" si="15"/>
        <v>7.9</v>
      </c>
      <c r="I228" s="25">
        <f t="shared" si="16"/>
        <v>10</v>
      </c>
      <c r="J228" s="25">
        <f t="shared" si="17"/>
        <v>7.48</v>
      </c>
      <c r="K228" s="25">
        <f t="shared" si="18"/>
        <v>6.7554576406969762</v>
      </c>
      <c r="L228" s="25">
        <f t="shared" si="19"/>
        <v>1</v>
      </c>
    </row>
    <row r="229" spans="1:12" ht="15" customHeight="1" x14ac:dyDescent="0.35">
      <c r="A229" s="14">
        <v>227</v>
      </c>
      <c r="B229" s="17" t="str">
        <f>'Data Mentah'!D229</f>
        <v>Junior Operations Manager</v>
      </c>
      <c r="C229" s="18">
        <f>'Data Mentah'!A229</f>
        <v>33</v>
      </c>
      <c r="D229" s="14" t="str">
        <f>'Data Mentah'!B229</f>
        <v>Female</v>
      </c>
      <c r="E229" s="14" t="str">
        <f>'Data Mentah'!C229</f>
        <v>Bachelor's</v>
      </c>
      <c r="F229" s="19">
        <f>'Data Mentah'!E229</f>
        <v>5</v>
      </c>
      <c r="G229" s="20">
        <f>'Data Mentah'!F229</f>
        <v>70000</v>
      </c>
      <c r="H229" s="21">
        <f t="shared" si="15"/>
        <v>4</v>
      </c>
      <c r="I229" s="21">
        <f t="shared" si="16"/>
        <v>1</v>
      </c>
      <c r="J229" s="21">
        <f t="shared" si="17"/>
        <v>2.8</v>
      </c>
      <c r="K229" s="21">
        <f t="shared" si="18"/>
        <v>3.5109152813939515</v>
      </c>
      <c r="L229" s="21">
        <f t="shared" si="19"/>
        <v>10</v>
      </c>
    </row>
    <row r="230" spans="1:12" ht="15" customHeight="1" x14ac:dyDescent="0.35">
      <c r="A230" s="11">
        <v>228</v>
      </c>
      <c r="B230" s="8" t="str">
        <f>'Data Mentah'!D230</f>
        <v>Senior Software Architect</v>
      </c>
      <c r="C230" s="22">
        <f>'Data Mentah'!A230</f>
        <v>37</v>
      </c>
      <c r="D230" s="11" t="str">
        <f>'Data Mentah'!B230</f>
        <v>Male</v>
      </c>
      <c r="E230" s="11" t="str">
        <f>'Data Mentah'!C230</f>
        <v>Master's</v>
      </c>
      <c r="F230" s="23">
        <f>'Data Mentah'!E230</f>
        <v>9</v>
      </c>
      <c r="G230" s="24">
        <f>'Data Mentah'!F230</f>
        <v>120000</v>
      </c>
      <c r="H230" s="25">
        <f t="shared" si="15"/>
        <v>5.2</v>
      </c>
      <c r="I230" s="25">
        <f t="shared" si="16"/>
        <v>5.5</v>
      </c>
      <c r="J230" s="25">
        <f t="shared" si="17"/>
        <v>4.24</v>
      </c>
      <c r="K230" s="25">
        <f t="shared" si="18"/>
        <v>5.3134388143400759</v>
      </c>
      <c r="L230" s="25">
        <f t="shared" si="19"/>
        <v>1</v>
      </c>
    </row>
    <row r="231" spans="1:12" ht="15" customHeight="1" x14ac:dyDescent="0.35">
      <c r="A231" s="14">
        <v>229</v>
      </c>
      <c r="B231" s="17" t="str">
        <f>'Data Mentah'!D231</f>
        <v>Director of Human Resources</v>
      </c>
      <c r="C231" s="18">
        <f>'Data Mentah'!A231</f>
        <v>51</v>
      </c>
      <c r="D231" s="14" t="str">
        <f>'Data Mentah'!B231</f>
        <v>Female</v>
      </c>
      <c r="E231" s="14" t="str">
        <f>'Data Mentah'!C231</f>
        <v>Master's</v>
      </c>
      <c r="F231" s="19">
        <f>'Data Mentah'!E231</f>
        <v>21</v>
      </c>
      <c r="G231" s="20">
        <f>'Data Mentah'!F231</f>
        <v>190000</v>
      </c>
      <c r="H231" s="21">
        <f t="shared" si="15"/>
        <v>9.4</v>
      </c>
      <c r="I231" s="21">
        <f t="shared" si="16"/>
        <v>5.5</v>
      </c>
      <c r="J231" s="21">
        <f t="shared" si="17"/>
        <v>8.5599999999999987</v>
      </c>
      <c r="K231" s="21">
        <f t="shared" si="18"/>
        <v>7.8369717604646505</v>
      </c>
      <c r="L231" s="21">
        <f t="shared" si="19"/>
        <v>10</v>
      </c>
    </row>
    <row r="232" spans="1:12" ht="15" customHeight="1" x14ac:dyDescent="0.35">
      <c r="A232" s="11">
        <v>230</v>
      </c>
      <c r="B232" s="8" t="str">
        <f>'Data Mentah'!D232</f>
        <v>Junior Marketing Specialist</v>
      </c>
      <c r="C232" s="22">
        <f>'Data Mentah'!A232</f>
        <v>30</v>
      </c>
      <c r="D232" s="11" t="str">
        <f>'Data Mentah'!B232</f>
        <v>Male</v>
      </c>
      <c r="E232" s="11" t="str">
        <f>'Data Mentah'!C232</f>
        <v>Bachelor's</v>
      </c>
      <c r="F232" s="23">
        <f>'Data Mentah'!E232</f>
        <v>3</v>
      </c>
      <c r="G232" s="24">
        <f>'Data Mentah'!F232</f>
        <v>45000</v>
      </c>
      <c r="H232" s="25">
        <f t="shared" si="15"/>
        <v>3.1</v>
      </c>
      <c r="I232" s="25">
        <f t="shared" si="16"/>
        <v>1</v>
      </c>
      <c r="J232" s="25">
        <f t="shared" si="17"/>
        <v>2.08</v>
      </c>
      <c r="K232" s="25">
        <f t="shared" si="18"/>
        <v>2.6096535149208893</v>
      </c>
      <c r="L232" s="25">
        <f t="shared" si="19"/>
        <v>1</v>
      </c>
    </row>
    <row r="233" spans="1:12" ht="15" customHeight="1" x14ac:dyDescent="0.35">
      <c r="A233" s="14">
        <v>231</v>
      </c>
      <c r="B233" s="17" t="str">
        <f>'Data Mentah'!D233</f>
        <v>Senior Project Manager</v>
      </c>
      <c r="C233" s="18">
        <f>'Data Mentah'!A233</f>
        <v>43</v>
      </c>
      <c r="D233" s="14" t="str">
        <f>'Data Mentah'!B233</f>
        <v>Male</v>
      </c>
      <c r="E233" s="14" t="str">
        <f>'Data Mentah'!C233</f>
        <v>Bachelor's</v>
      </c>
      <c r="F233" s="19">
        <f>'Data Mentah'!E233</f>
        <v>15</v>
      </c>
      <c r="G233" s="20">
        <f>'Data Mentah'!F233</f>
        <v>120000</v>
      </c>
      <c r="H233" s="21">
        <f t="shared" si="15"/>
        <v>7</v>
      </c>
      <c r="I233" s="21">
        <f t="shared" si="16"/>
        <v>1</v>
      </c>
      <c r="J233" s="21">
        <f t="shared" si="17"/>
        <v>6.4</v>
      </c>
      <c r="K233" s="21">
        <f t="shared" si="18"/>
        <v>5.3134388143400759</v>
      </c>
      <c r="L233" s="21">
        <f t="shared" si="19"/>
        <v>1</v>
      </c>
    </row>
    <row r="234" spans="1:12" ht="15" customHeight="1" x14ac:dyDescent="0.35">
      <c r="A234" s="11">
        <v>232</v>
      </c>
      <c r="B234" s="8" t="str">
        <f>'Data Mentah'!D234</f>
        <v>Junior Research Scientist</v>
      </c>
      <c r="C234" s="22">
        <f>'Data Mentah'!A234</f>
        <v>27</v>
      </c>
      <c r="D234" s="11" t="str">
        <f>'Data Mentah'!B234</f>
        <v>Female</v>
      </c>
      <c r="E234" s="11" t="str">
        <f>'Data Mentah'!C234</f>
        <v>Master's</v>
      </c>
      <c r="F234" s="23">
        <f>'Data Mentah'!E234</f>
        <v>1.5</v>
      </c>
      <c r="G234" s="24">
        <f>'Data Mentah'!F234</f>
        <v>50000</v>
      </c>
      <c r="H234" s="25">
        <f t="shared" si="15"/>
        <v>2.2000000000000002</v>
      </c>
      <c r="I234" s="25">
        <f t="shared" si="16"/>
        <v>5.5</v>
      </c>
      <c r="J234" s="25">
        <f t="shared" si="17"/>
        <v>1.54</v>
      </c>
      <c r="K234" s="25">
        <f t="shared" si="18"/>
        <v>2.7899058682155018</v>
      </c>
      <c r="L234" s="25">
        <f t="shared" si="19"/>
        <v>10</v>
      </c>
    </row>
    <row r="235" spans="1:12" ht="15" customHeight="1" x14ac:dyDescent="0.35">
      <c r="A235" s="14">
        <v>233</v>
      </c>
      <c r="B235" s="17" t="str">
        <f>'Data Mentah'!D235</f>
        <v>Senior Operations Analyst</v>
      </c>
      <c r="C235" s="18">
        <f>'Data Mentah'!A235</f>
        <v>35</v>
      </c>
      <c r="D235" s="14" t="str">
        <f>'Data Mentah'!B235</f>
        <v>Male</v>
      </c>
      <c r="E235" s="14" t="str">
        <f>'Data Mentah'!C235</f>
        <v>Bachelor's</v>
      </c>
      <c r="F235" s="19">
        <f>'Data Mentah'!E235</f>
        <v>8</v>
      </c>
      <c r="G235" s="20">
        <f>'Data Mentah'!F235</f>
        <v>85000</v>
      </c>
      <c r="H235" s="21">
        <f t="shared" si="15"/>
        <v>4.5999999999999996</v>
      </c>
      <c r="I235" s="21">
        <f t="shared" si="16"/>
        <v>1</v>
      </c>
      <c r="J235" s="21">
        <f t="shared" si="17"/>
        <v>3.88</v>
      </c>
      <c r="K235" s="21">
        <f t="shared" si="18"/>
        <v>4.0516723412777891</v>
      </c>
      <c r="L235" s="21">
        <f t="shared" si="19"/>
        <v>1</v>
      </c>
    </row>
    <row r="236" spans="1:12" ht="15" customHeight="1" x14ac:dyDescent="0.35">
      <c r="A236" s="11">
        <v>234</v>
      </c>
      <c r="B236" s="8" t="str">
        <f>'Data Mentah'!D236</f>
        <v>Senior Marketing Manager</v>
      </c>
      <c r="C236" s="22">
        <f>'Data Mentah'!A236</f>
        <v>42</v>
      </c>
      <c r="D236" s="11" t="str">
        <f>'Data Mentah'!B236</f>
        <v>Female</v>
      </c>
      <c r="E236" s="11" t="str">
        <f>'Data Mentah'!C236</f>
        <v>PhD</v>
      </c>
      <c r="F236" s="23">
        <f>'Data Mentah'!E236</f>
        <v>13</v>
      </c>
      <c r="G236" s="24">
        <f>'Data Mentah'!F236</f>
        <v>140000</v>
      </c>
      <c r="H236" s="25">
        <f t="shared" si="15"/>
        <v>6.7</v>
      </c>
      <c r="I236" s="25">
        <f t="shared" si="16"/>
        <v>10</v>
      </c>
      <c r="J236" s="25">
        <f t="shared" si="17"/>
        <v>5.68</v>
      </c>
      <c r="K236" s="25">
        <f t="shared" si="18"/>
        <v>6.0344482275185261</v>
      </c>
      <c r="L236" s="25">
        <f t="shared" si="19"/>
        <v>10</v>
      </c>
    </row>
    <row r="237" spans="1:12" ht="15" customHeight="1" x14ac:dyDescent="0.35">
      <c r="A237" s="14">
        <v>235</v>
      </c>
      <c r="B237" s="17" t="str">
        <f>'Data Mentah'!D237</f>
        <v>Junior Sales Representative</v>
      </c>
      <c r="C237" s="18">
        <f>'Data Mentah'!A237</f>
        <v>32</v>
      </c>
      <c r="D237" s="14" t="str">
        <f>'Data Mentah'!B237</f>
        <v>Male</v>
      </c>
      <c r="E237" s="14" t="str">
        <f>'Data Mentah'!C237</f>
        <v>Bachelor's</v>
      </c>
      <c r="F237" s="19">
        <f>'Data Mentah'!E237</f>
        <v>3</v>
      </c>
      <c r="G237" s="20">
        <f>'Data Mentah'!F237</f>
        <v>45000</v>
      </c>
      <c r="H237" s="21">
        <f t="shared" si="15"/>
        <v>3.7</v>
      </c>
      <c r="I237" s="21">
        <f t="shared" si="16"/>
        <v>1</v>
      </c>
      <c r="J237" s="21">
        <f t="shared" si="17"/>
        <v>2.08</v>
      </c>
      <c r="K237" s="21">
        <f t="shared" si="18"/>
        <v>2.6096535149208893</v>
      </c>
      <c r="L237" s="21">
        <f t="shared" si="19"/>
        <v>1</v>
      </c>
    </row>
    <row r="238" spans="1:12" ht="15" customHeight="1" x14ac:dyDescent="0.35">
      <c r="A238" s="11">
        <v>236</v>
      </c>
      <c r="B238" s="8" t="str">
        <f>'Data Mentah'!D238</f>
        <v>Senior Financial Analyst</v>
      </c>
      <c r="C238" s="22">
        <f>'Data Mentah'!A238</f>
        <v>37</v>
      </c>
      <c r="D238" s="11" t="str">
        <f>'Data Mentah'!B238</f>
        <v>Female</v>
      </c>
      <c r="E238" s="11" t="str">
        <f>'Data Mentah'!C238</f>
        <v>Bachelor's</v>
      </c>
      <c r="F238" s="23">
        <f>'Data Mentah'!E238</f>
        <v>9</v>
      </c>
      <c r="G238" s="24">
        <f>'Data Mentah'!F238</f>
        <v>100000</v>
      </c>
      <c r="H238" s="25">
        <f t="shared" si="15"/>
        <v>5.2</v>
      </c>
      <c r="I238" s="25">
        <f t="shared" si="16"/>
        <v>1</v>
      </c>
      <c r="J238" s="25">
        <f t="shared" si="17"/>
        <v>4.24</v>
      </c>
      <c r="K238" s="25">
        <f t="shared" si="18"/>
        <v>4.5924294011616258</v>
      </c>
      <c r="L238" s="25">
        <f t="shared" si="19"/>
        <v>10</v>
      </c>
    </row>
    <row r="239" spans="1:12" ht="15" customHeight="1" x14ac:dyDescent="0.35">
      <c r="A239" s="14">
        <v>237</v>
      </c>
      <c r="B239" s="17" t="str">
        <f>'Data Mentah'!D239</f>
        <v>Senior Software Developer</v>
      </c>
      <c r="C239" s="18">
        <f>'Data Mentah'!A239</f>
        <v>45</v>
      </c>
      <c r="D239" s="14" t="str">
        <f>'Data Mentah'!B239</f>
        <v>Male</v>
      </c>
      <c r="E239" s="14" t="str">
        <f>'Data Mentah'!C239</f>
        <v>Master's</v>
      </c>
      <c r="F239" s="19">
        <f>'Data Mentah'!E239</f>
        <v>16</v>
      </c>
      <c r="G239" s="20">
        <f>'Data Mentah'!F239</f>
        <v>140000</v>
      </c>
      <c r="H239" s="21">
        <f t="shared" si="15"/>
        <v>7.6</v>
      </c>
      <c r="I239" s="21">
        <f t="shared" si="16"/>
        <v>5.5</v>
      </c>
      <c r="J239" s="21">
        <f t="shared" si="17"/>
        <v>6.76</v>
      </c>
      <c r="K239" s="21">
        <f t="shared" si="18"/>
        <v>6.0344482275185261</v>
      </c>
      <c r="L239" s="21">
        <f t="shared" si="19"/>
        <v>1</v>
      </c>
    </row>
    <row r="240" spans="1:12" ht="15" customHeight="1" x14ac:dyDescent="0.35">
      <c r="A240" s="11">
        <v>238</v>
      </c>
      <c r="B240" s="8" t="str">
        <f>'Data Mentah'!D240</f>
        <v>Junior Operations Analyst</v>
      </c>
      <c r="C240" s="22">
        <f>'Data Mentah'!A240</f>
        <v>33</v>
      </c>
      <c r="D240" s="11" t="str">
        <f>'Data Mentah'!B240</f>
        <v>Female</v>
      </c>
      <c r="E240" s="11" t="str">
        <f>'Data Mentah'!C240</f>
        <v>Bachelor's</v>
      </c>
      <c r="F240" s="23">
        <f>'Data Mentah'!E240</f>
        <v>5</v>
      </c>
      <c r="G240" s="24">
        <f>'Data Mentah'!F240</f>
        <v>70000</v>
      </c>
      <c r="H240" s="25">
        <f t="shared" si="15"/>
        <v>4</v>
      </c>
      <c r="I240" s="25">
        <f t="shared" si="16"/>
        <v>1</v>
      </c>
      <c r="J240" s="25">
        <f t="shared" si="17"/>
        <v>2.8</v>
      </c>
      <c r="K240" s="25">
        <f t="shared" si="18"/>
        <v>3.5109152813939515</v>
      </c>
      <c r="L240" s="25">
        <f t="shared" si="19"/>
        <v>10</v>
      </c>
    </row>
    <row r="241" spans="1:12" ht="15" customHeight="1" x14ac:dyDescent="0.35">
      <c r="A241" s="14">
        <v>239</v>
      </c>
      <c r="B241" s="17" t="str">
        <f>'Data Mentah'!D241</f>
        <v>Senior Marketing Specialist</v>
      </c>
      <c r="C241" s="18">
        <f>'Data Mentah'!A241</f>
        <v>39</v>
      </c>
      <c r="D241" s="14" t="str">
        <f>'Data Mentah'!B241</f>
        <v>Male</v>
      </c>
      <c r="E241" s="14" t="str">
        <f>'Data Mentah'!C241</f>
        <v>Bachelor's</v>
      </c>
      <c r="F241" s="19">
        <f>'Data Mentah'!E241</f>
        <v>10</v>
      </c>
      <c r="G241" s="20">
        <f>'Data Mentah'!F241</f>
        <v>120000</v>
      </c>
      <c r="H241" s="21">
        <f t="shared" si="15"/>
        <v>5.8</v>
      </c>
      <c r="I241" s="21">
        <f t="shared" si="16"/>
        <v>1</v>
      </c>
      <c r="J241" s="21">
        <f t="shared" si="17"/>
        <v>4.5999999999999996</v>
      </c>
      <c r="K241" s="21">
        <f t="shared" si="18"/>
        <v>5.3134388143400759</v>
      </c>
      <c r="L241" s="21">
        <f t="shared" si="19"/>
        <v>1</v>
      </c>
    </row>
    <row r="242" spans="1:12" ht="15" customHeight="1" x14ac:dyDescent="0.35">
      <c r="A242" s="11">
        <v>240</v>
      </c>
      <c r="B242" s="8" t="str">
        <f>'Data Mentah'!D242</f>
        <v>Senior HR Manager</v>
      </c>
      <c r="C242" s="22">
        <f>'Data Mentah'!A242</f>
        <v>44</v>
      </c>
      <c r="D242" s="11" t="str">
        <f>'Data Mentah'!B242</f>
        <v>Female</v>
      </c>
      <c r="E242" s="11" t="str">
        <f>'Data Mentah'!C242</f>
        <v>PhD</v>
      </c>
      <c r="F242" s="23">
        <f>'Data Mentah'!E242</f>
        <v>18</v>
      </c>
      <c r="G242" s="24">
        <f>'Data Mentah'!F242</f>
        <v>160000</v>
      </c>
      <c r="H242" s="25">
        <f t="shared" si="15"/>
        <v>7.3</v>
      </c>
      <c r="I242" s="25">
        <f t="shared" si="16"/>
        <v>10</v>
      </c>
      <c r="J242" s="25">
        <f t="shared" si="17"/>
        <v>7.48</v>
      </c>
      <c r="K242" s="25">
        <f t="shared" si="18"/>
        <v>6.7554576406969762</v>
      </c>
      <c r="L242" s="25">
        <f t="shared" si="19"/>
        <v>10</v>
      </c>
    </row>
    <row r="243" spans="1:12" ht="15" customHeight="1" x14ac:dyDescent="0.35">
      <c r="A243" s="14">
        <v>241</v>
      </c>
      <c r="B243" s="17" t="str">
        <f>'Data Mentah'!D243</f>
        <v>Junior Business Analyst</v>
      </c>
      <c r="C243" s="18">
        <f>'Data Mentah'!A243</f>
        <v>29</v>
      </c>
      <c r="D243" s="14" t="str">
        <f>'Data Mentah'!B243</f>
        <v>Male</v>
      </c>
      <c r="E243" s="14" t="str">
        <f>'Data Mentah'!C243</f>
        <v>Bachelor's</v>
      </c>
      <c r="F243" s="19">
        <f>'Data Mentah'!E243</f>
        <v>1.5</v>
      </c>
      <c r="G243" s="20">
        <f>'Data Mentah'!F243</f>
        <v>40000</v>
      </c>
      <c r="H243" s="21">
        <f t="shared" si="15"/>
        <v>2.8</v>
      </c>
      <c r="I243" s="21">
        <f t="shared" si="16"/>
        <v>1</v>
      </c>
      <c r="J243" s="21">
        <f t="shared" si="17"/>
        <v>1.54</v>
      </c>
      <c r="K243" s="21">
        <f t="shared" si="18"/>
        <v>2.4294011616262767</v>
      </c>
      <c r="L243" s="21">
        <f t="shared" si="19"/>
        <v>1</v>
      </c>
    </row>
    <row r="244" spans="1:12" ht="15" customHeight="1" x14ac:dyDescent="0.35">
      <c r="A244" s="11">
        <v>242</v>
      </c>
      <c r="B244" s="8" t="str">
        <f>'Data Mentah'!D244</f>
        <v>Senior Product Manager</v>
      </c>
      <c r="C244" s="22">
        <f>'Data Mentah'!A244</f>
        <v>38</v>
      </c>
      <c r="D244" s="11" t="str">
        <f>'Data Mentah'!B244</f>
        <v>Female</v>
      </c>
      <c r="E244" s="11" t="str">
        <f>'Data Mentah'!C244</f>
        <v>Bachelor's</v>
      </c>
      <c r="F244" s="23">
        <f>'Data Mentah'!E244</f>
        <v>10</v>
      </c>
      <c r="G244" s="24">
        <f>'Data Mentah'!F244</f>
        <v>120000</v>
      </c>
      <c r="H244" s="25">
        <f t="shared" si="15"/>
        <v>5.5</v>
      </c>
      <c r="I244" s="25">
        <f t="shared" si="16"/>
        <v>1</v>
      </c>
      <c r="J244" s="25">
        <f t="shared" si="17"/>
        <v>4.5999999999999996</v>
      </c>
      <c r="K244" s="25">
        <f t="shared" si="18"/>
        <v>5.3134388143400759</v>
      </c>
      <c r="L244" s="25">
        <f t="shared" si="19"/>
        <v>10</v>
      </c>
    </row>
    <row r="245" spans="1:12" ht="15" customHeight="1" x14ac:dyDescent="0.35">
      <c r="A245" s="14">
        <v>243</v>
      </c>
      <c r="B245" s="17" t="str">
        <f>'Data Mentah'!D245</f>
        <v>Senior Data Analyst</v>
      </c>
      <c r="C245" s="18">
        <f>'Data Mentah'!A245</f>
        <v>46</v>
      </c>
      <c r="D245" s="14" t="str">
        <f>'Data Mentah'!B245</f>
        <v>Male</v>
      </c>
      <c r="E245" s="14" t="str">
        <f>'Data Mentah'!C245</f>
        <v>PhD</v>
      </c>
      <c r="F245" s="19">
        <f>'Data Mentah'!E245</f>
        <v>19</v>
      </c>
      <c r="G245" s="20">
        <f>'Data Mentah'!F245</f>
        <v>150000</v>
      </c>
      <c r="H245" s="21">
        <f t="shared" si="15"/>
        <v>7.9</v>
      </c>
      <c r="I245" s="21">
        <f t="shared" si="16"/>
        <v>10</v>
      </c>
      <c r="J245" s="21">
        <f t="shared" si="17"/>
        <v>7.84</v>
      </c>
      <c r="K245" s="21">
        <f t="shared" si="18"/>
        <v>6.3949529341077511</v>
      </c>
      <c r="L245" s="21">
        <f t="shared" si="19"/>
        <v>1</v>
      </c>
    </row>
    <row r="246" spans="1:12" ht="15" customHeight="1" x14ac:dyDescent="0.35">
      <c r="A246" s="11">
        <v>244</v>
      </c>
      <c r="B246" s="8" t="str">
        <f>'Data Mentah'!D246</f>
        <v>Junior Marketing Analyst</v>
      </c>
      <c r="C246" s="22">
        <f>'Data Mentah'!A246</f>
        <v>34</v>
      </c>
      <c r="D246" s="11" t="str">
        <f>'Data Mentah'!B246</f>
        <v>Female</v>
      </c>
      <c r="E246" s="11" t="str">
        <f>'Data Mentah'!C246</f>
        <v>Bachelor's</v>
      </c>
      <c r="F246" s="23">
        <f>'Data Mentah'!E246</f>
        <v>6</v>
      </c>
      <c r="G246" s="24">
        <f>'Data Mentah'!F246</f>
        <v>70000</v>
      </c>
      <c r="H246" s="25">
        <f t="shared" si="15"/>
        <v>4.3</v>
      </c>
      <c r="I246" s="25">
        <f t="shared" si="16"/>
        <v>1</v>
      </c>
      <c r="J246" s="25">
        <f t="shared" si="17"/>
        <v>3.16</v>
      </c>
      <c r="K246" s="25">
        <f t="shared" si="18"/>
        <v>3.5109152813939515</v>
      </c>
      <c r="L246" s="25">
        <f t="shared" si="19"/>
        <v>10</v>
      </c>
    </row>
    <row r="247" spans="1:12" ht="15" customHeight="1" x14ac:dyDescent="0.35">
      <c r="A247" s="14">
        <v>245</v>
      </c>
      <c r="B247" s="17" t="str">
        <f>'Data Mentah'!D247</f>
        <v>Senior Operations Manager</v>
      </c>
      <c r="C247" s="18">
        <f>'Data Mentah'!A247</f>
        <v>36</v>
      </c>
      <c r="D247" s="14" t="str">
        <f>'Data Mentah'!B247</f>
        <v>Male</v>
      </c>
      <c r="E247" s="14" t="str">
        <f>'Data Mentah'!C247</f>
        <v>Bachelor's</v>
      </c>
      <c r="F247" s="19">
        <f>'Data Mentah'!E247</f>
        <v>8</v>
      </c>
      <c r="G247" s="20">
        <f>'Data Mentah'!F247</f>
        <v>95000</v>
      </c>
      <c r="H247" s="21">
        <f t="shared" si="15"/>
        <v>4.9000000000000004</v>
      </c>
      <c r="I247" s="21">
        <f t="shared" si="16"/>
        <v>1</v>
      </c>
      <c r="J247" s="21">
        <f t="shared" si="17"/>
        <v>3.88</v>
      </c>
      <c r="K247" s="21">
        <f t="shared" si="18"/>
        <v>4.4121770478670133</v>
      </c>
      <c r="L247" s="21">
        <f t="shared" si="19"/>
        <v>1</v>
      </c>
    </row>
    <row r="248" spans="1:12" ht="15" customHeight="1" x14ac:dyDescent="0.35">
      <c r="A248" s="11">
        <v>246</v>
      </c>
      <c r="B248" s="8" t="str">
        <f>'Data Mentah'!D248</f>
        <v>Director of Marketing</v>
      </c>
      <c r="C248" s="22">
        <f>'Data Mentah'!A248</f>
        <v>49</v>
      </c>
      <c r="D248" s="11" t="str">
        <f>'Data Mentah'!B248</f>
        <v>Female</v>
      </c>
      <c r="E248" s="11" t="str">
        <f>'Data Mentah'!C248</f>
        <v>Master's</v>
      </c>
      <c r="F248" s="23">
        <f>'Data Mentah'!E248</f>
        <v>21</v>
      </c>
      <c r="G248" s="24">
        <f>'Data Mentah'!F248</f>
        <v>180000</v>
      </c>
      <c r="H248" s="25">
        <f t="shared" si="15"/>
        <v>8.8000000000000007</v>
      </c>
      <c r="I248" s="25">
        <f t="shared" si="16"/>
        <v>5.5</v>
      </c>
      <c r="J248" s="25">
        <f t="shared" si="17"/>
        <v>8.5599999999999987</v>
      </c>
      <c r="K248" s="25">
        <f t="shared" si="18"/>
        <v>7.4764670538754254</v>
      </c>
      <c r="L248" s="25">
        <f t="shared" si="19"/>
        <v>10</v>
      </c>
    </row>
    <row r="249" spans="1:12" ht="15" customHeight="1" x14ac:dyDescent="0.35">
      <c r="A249" s="14">
        <v>247</v>
      </c>
      <c r="B249" s="17" t="str">
        <f>'Data Mentah'!D249</f>
        <v>Junior Financial Analyst</v>
      </c>
      <c r="C249" s="18">
        <f>'Data Mentah'!A249</f>
        <v>31</v>
      </c>
      <c r="D249" s="14" t="str">
        <f>'Data Mentah'!B249</f>
        <v>Male</v>
      </c>
      <c r="E249" s="14" t="str">
        <f>'Data Mentah'!C249</f>
        <v>Bachelor's</v>
      </c>
      <c r="F249" s="19">
        <f>'Data Mentah'!E249</f>
        <v>3</v>
      </c>
      <c r="G249" s="20">
        <f>'Data Mentah'!F249</f>
        <v>50000</v>
      </c>
      <c r="H249" s="21">
        <f t="shared" si="15"/>
        <v>3.4</v>
      </c>
      <c r="I249" s="21">
        <f t="shared" si="16"/>
        <v>1</v>
      </c>
      <c r="J249" s="21">
        <f t="shared" si="17"/>
        <v>2.08</v>
      </c>
      <c r="K249" s="21">
        <f t="shared" si="18"/>
        <v>2.7899058682155018</v>
      </c>
      <c r="L249" s="21">
        <f t="shared" si="19"/>
        <v>1</v>
      </c>
    </row>
    <row r="250" spans="1:12" ht="15" customHeight="1" x14ac:dyDescent="0.35">
      <c r="A250" s="11">
        <v>248</v>
      </c>
      <c r="B250" s="8" t="str">
        <f>'Data Mentah'!D250</f>
        <v>Senior Project Coordinator</v>
      </c>
      <c r="C250" s="22">
        <f>'Data Mentah'!A250</f>
        <v>41</v>
      </c>
      <c r="D250" s="11" t="str">
        <f>'Data Mentah'!B250</f>
        <v>Female</v>
      </c>
      <c r="E250" s="11" t="str">
        <f>'Data Mentah'!C250</f>
        <v>Bachelor's</v>
      </c>
      <c r="F250" s="23">
        <f>'Data Mentah'!E250</f>
        <v>11</v>
      </c>
      <c r="G250" s="24">
        <f>'Data Mentah'!F250</f>
        <v>95000</v>
      </c>
      <c r="H250" s="25">
        <f t="shared" si="15"/>
        <v>6.4</v>
      </c>
      <c r="I250" s="25">
        <f t="shared" si="16"/>
        <v>1</v>
      </c>
      <c r="J250" s="25">
        <f t="shared" si="17"/>
        <v>4.96</v>
      </c>
      <c r="K250" s="25">
        <f t="shared" si="18"/>
        <v>4.4121770478670133</v>
      </c>
      <c r="L250" s="25">
        <f t="shared" si="19"/>
        <v>10</v>
      </c>
    </row>
    <row r="251" spans="1:12" ht="15" customHeight="1" x14ac:dyDescent="0.35">
      <c r="A251" s="14">
        <v>249</v>
      </c>
      <c r="B251" s="17" t="str">
        <f>'Data Mentah'!D251</f>
        <v>Director of Operations</v>
      </c>
      <c r="C251" s="18">
        <f>'Data Mentah'!A251</f>
        <v>47</v>
      </c>
      <c r="D251" s="14" t="str">
        <f>'Data Mentah'!B251</f>
        <v>Male</v>
      </c>
      <c r="E251" s="14" t="str">
        <f>'Data Mentah'!C251</f>
        <v>Master's</v>
      </c>
      <c r="F251" s="19">
        <f>'Data Mentah'!E251</f>
        <v>20</v>
      </c>
      <c r="G251" s="20">
        <f>'Data Mentah'!F251</f>
        <v>170000</v>
      </c>
      <c r="H251" s="21">
        <f t="shared" si="15"/>
        <v>8.1999999999999993</v>
      </c>
      <c r="I251" s="21">
        <f t="shared" si="16"/>
        <v>5.5</v>
      </c>
      <c r="J251" s="21">
        <f t="shared" si="17"/>
        <v>8.1999999999999993</v>
      </c>
      <c r="K251" s="21">
        <f t="shared" si="18"/>
        <v>7.1159623472862004</v>
      </c>
      <c r="L251" s="21">
        <f t="shared" si="19"/>
        <v>1</v>
      </c>
    </row>
    <row r="252" spans="1:12" ht="15" customHeight="1" x14ac:dyDescent="0.35">
      <c r="A252" s="11">
        <v>250</v>
      </c>
      <c r="B252" s="8" t="str">
        <f>'Data Mentah'!D252</f>
        <v>Junior Marketing Coordinator</v>
      </c>
      <c r="C252" s="22">
        <f>'Data Mentah'!A252</f>
        <v>30</v>
      </c>
      <c r="D252" s="11" t="str">
        <f>'Data Mentah'!B252</f>
        <v>Female</v>
      </c>
      <c r="E252" s="11" t="str">
        <f>'Data Mentah'!C252</f>
        <v>Bachelor's</v>
      </c>
      <c r="F252" s="23">
        <f>'Data Mentah'!E252</f>
        <v>2</v>
      </c>
      <c r="G252" s="24">
        <f>'Data Mentah'!F252</f>
        <v>40000</v>
      </c>
      <c r="H252" s="25">
        <f t="shared" si="15"/>
        <v>3.1</v>
      </c>
      <c r="I252" s="25">
        <f t="shared" si="16"/>
        <v>1</v>
      </c>
      <c r="J252" s="25">
        <f t="shared" si="17"/>
        <v>1.72</v>
      </c>
      <c r="K252" s="25">
        <f t="shared" si="18"/>
        <v>2.4294011616262767</v>
      </c>
      <c r="L252" s="25">
        <f t="shared" si="19"/>
        <v>10</v>
      </c>
    </row>
    <row r="253" spans="1:12" ht="15" customHeight="1" x14ac:dyDescent="0.35">
      <c r="A253" s="14">
        <v>251</v>
      </c>
      <c r="B253" s="17" t="str">
        <f>'Data Mentah'!D253</f>
        <v>Senior IT Consultant</v>
      </c>
      <c r="C253" s="18">
        <f>'Data Mentah'!A253</f>
        <v>38</v>
      </c>
      <c r="D253" s="14" t="str">
        <f>'Data Mentah'!B253</f>
        <v>Male</v>
      </c>
      <c r="E253" s="14" t="str">
        <f>'Data Mentah'!C253</f>
        <v>Master's</v>
      </c>
      <c r="F253" s="19">
        <f>'Data Mentah'!E253</f>
        <v>9</v>
      </c>
      <c r="G253" s="20">
        <f>'Data Mentah'!F253</f>
        <v>110000</v>
      </c>
      <c r="H253" s="21">
        <f t="shared" si="15"/>
        <v>5.5</v>
      </c>
      <c r="I253" s="21">
        <f t="shared" si="16"/>
        <v>5.5</v>
      </c>
      <c r="J253" s="21">
        <f t="shared" si="17"/>
        <v>4.24</v>
      </c>
      <c r="K253" s="21">
        <f t="shared" si="18"/>
        <v>4.9529341077508509</v>
      </c>
      <c r="L253" s="21">
        <f t="shared" si="19"/>
        <v>1</v>
      </c>
    </row>
    <row r="254" spans="1:12" ht="15" customHeight="1" x14ac:dyDescent="0.35">
      <c r="A254" s="11">
        <v>252</v>
      </c>
      <c r="B254" s="8" t="str">
        <f>'Data Mentah'!D254</f>
        <v>Senior Product Designer</v>
      </c>
      <c r="C254" s="22">
        <f>'Data Mentah'!A254</f>
        <v>45</v>
      </c>
      <c r="D254" s="11" t="str">
        <f>'Data Mentah'!B254</f>
        <v>Female</v>
      </c>
      <c r="E254" s="11" t="str">
        <f>'Data Mentah'!C254</f>
        <v>PhD</v>
      </c>
      <c r="F254" s="23">
        <f>'Data Mentah'!E254</f>
        <v>15</v>
      </c>
      <c r="G254" s="24">
        <f>'Data Mentah'!F254</f>
        <v>150000</v>
      </c>
      <c r="H254" s="25">
        <f t="shared" si="15"/>
        <v>7.6</v>
      </c>
      <c r="I254" s="25">
        <f t="shared" si="16"/>
        <v>10</v>
      </c>
      <c r="J254" s="25">
        <f t="shared" si="17"/>
        <v>6.4</v>
      </c>
      <c r="K254" s="25">
        <f t="shared" si="18"/>
        <v>6.3949529341077511</v>
      </c>
      <c r="L254" s="25">
        <f t="shared" si="19"/>
        <v>10</v>
      </c>
    </row>
    <row r="255" spans="1:12" ht="15" customHeight="1" x14ac:dyDescent="0.35">
      <c r="A255" s="14">
        <v>253</v>
      </c>
      <c r="B255" s="17" t="str">
        <f>'Data Mentah'!D255</f>
        <v>Junior Business Development Associate</v>
      </c>
      <c r="C255" s="18">
        <f>'Data Mentah'!A255</f>
        <v>28</v>
      </c>
      <c r="D255" s="14" t="str">
        <f>'Data Mentah'!B255</f>
        <v>Male</v>
      </c>
      <c r="E255" s="14" t="str">
        <f>'Data Mentah'!C255</f>
        <v>Bachelor's</v>
      </c>
      <c r="F255" s="19">
        <f>'Data Mentah'!E255</f>
        <v>2</v>
      </c>
      <c r="G255" s="20">
        <f>'Data Mentah'!F255</f>
        <v>40000</v>
      </c>
      <c r="H255" s="21">
        <f t="shared" si="15"/>
        <v>2.5</v>
      </c>
      <c r="I255" s="21">
        <f t="shared" si="16"/>
        <v>1</v>
      </c>
      <c r="J255" s="21">
        <f t="shared" si="17"/>
        <v>1.72</v>
      </c>
      <c r="K255" s="21">
        <f t="shared" si="18"/>
        <v>2.4294011616262767</v>
      </c>
      <c r="L255" s="21">
        <f t="shared" si="19"/>
        <v>1</v>
      </c>
    </row>
    <row r="256" spans="1:12" ht="15" customHeight="1" x14ac:dyDescent="0.35">
      <c r="A256" s="11">
        <v>254</v>
      </c>
      <c r="B256" s="8" t="str">
        <f>'Data Mentah'!D256</f>
        <v>Senior Marketing Analyst</v>
      </c>
      <c r="C256" s="22">
        <f>'Data Mentah'!A256</f>
        <v>35</v>
      </c>
      <c r="D256" s="11" t="str">
        <f>'Data Mentah'!B256</f>
        <v>Female</v>
      </c>
      <c r="E256" s="11" t="str">
        <f>'Data Mentah'!C256</f>
        <v>Bachelor's</v>
      </c>
      <c r="F256" s="23">
        <f>'Data Mentah'!E256</f>
        <v>8</v>
      </c>
      <c r="G256" s="24">
        <f>'Data Mentah'!F256</f>
        <v>85000</v>
      </c>
      <c r="H256" s="25">
        <f t="shared" si="15"/>
        <v>4.5999999999999996</v>
      </c>
      <c r="I256" s="25">
        <f t="shared" si="16"/>
        <v>1</v>
      </c>
      <c r="J256" s="25">
        <f t="shared" si="17"/>
        <v>3.88</v>
      </c>
      <c r="K256" s="25">
        <f t="shared" si="18"/>
        <v>4.0516723412777891</v>
      </c>
      <c r="L256" s="25">
        <f t="shared" si="19"/>
        <v>10</v>
      </c>
    </row>
    <row r="257" spans="1:12" ht="15" customHeight="1" x14ac:dyDescent="0.35">
      <c r="A257" s="14">
        <v>255</v>
      </c>
      <c r="B257" s="17" t="str">
        <f>'Data Mentah'!D257</f>
        <v>Senior Software Engineer</v>
      </c>
      <c r="C257" s="18">
        <f>'Data Mentah'!A257</f>
        <v>44</v>
      </c>
      <c r="D257" s="14" t="str">
        <f>'Data Mentah'!B257</f>
        <v>Male</v>
      </c>
      <c r="E257" s="14" t="str">
        <f>'Data Mentah'!C257</f>
        <v>Bachelor's</v>
      </c>
      <c r="F257" s="19">
        <f>'Data Mentah'!E257</f>
        <v>14</v>
      </c>
      <c r="G257" s="20">
        <f>'Data Mentah'!F257</f>
        <v>130000</v>
      </c>
      <c r="H257" s="21">
        <f t="shared" si="15"/>
        <v>7.3</v>
      </c>
      <c r="I257" s="21">
        <f t="shared" si="16"/>
        <v>1</v>
      </c>
      <c r="J257" s="21">
        <f t="shared" si="17"/>
        <v>6.04</v>
      </c>
      <c r="K257" s="21">
        <f t="shared" si="18"/>
        <v>5.673943520929301</v>
      </c>
      <c r="L257" s="21">
        <f t="shared" si="19"/>
        <v>1</v>
      </c>
    </row>
    <row r="258" spans="1:12" ht="15" customHeight="1" x14ac:dyDescent="0.35">
      <c r="A258" s="11">
        <v>256</v>
      </c>
      <c r="B258" s="8" t="str">
        <f>'Data Mentah'!D258</f>
        <v>Senior Financial Advisor</v>
      </c>
      <c r="C258" s="22">
        <f>'Data Mentah'!A258</f>
        <v>34</v>
      </c>
      <c r="D258" s="11" t="str">
        <f>'Data Mentah'!B258</f>
        <v>Female</v>
      </c>
      <c r="E258" s="11" t="str">
        <f>'Data Mentah'!C258</f>
        <v>Master's</v>
      </c>
      <c r="F258" s="23">
        <f>'Data Mentah'!E258</f>
        <v>6</v>
      </c>
      <c r="G258" s="24">
        <f>'Data Mentah'!F258</f>
        <v>100000</v>
      </c>
      <c r="H258" s="25">
        <f t="shared" si="15"/>
        <v>4.3</v>
      </c>
      <c r="I258" s="25">
        <f t="shared" si="16"/>
        <v>5.5</v>
      </c>
      <c r="J258" s="25">
        <f t="shared" si="17"/>
        <v>3.16</v>
      </c>
      <c r="K258" s="25">
        <f t="shared" si="18"/>
        <v>4.5924294011616258</v>
      </c>
      <c r="L258" s="25">
        <f t="shared" si="19"/>
        <v>10</v>
      </c>
    </row>
    <row r="259" spans="1:12" ht="15" customHeight="1" x14ac:dyDescent="0.35">
      <c r="A259" s="14">
        <v>257</v>
      </c>
      <c r="B259" s="17" t="str">
        <f>'Data Mentah'!D259</f>
        <v>Senior Project Coordinator</v>
      </c>
      <c r="C259" s="18">
        <f>'Data Mentah'!A259</f>
        <v>35</v>
      </c>
      <c r="D259" s="14" t="str">
        <f>'Data Mentah'!B259</f>
        <v>Male</v>
      </c>
      <c r="E259" s="14" t="str">
        <f>'Data Mentah'!C259</f>
        <v>Bachelor's</v>
      </c>
      <c r="F259" s="19">
        <f>'Data Mentah'!E259</f>
        <v>9</v>
      </c>
      <c r="G259" s="20">
        <f>'Data Mentah'!F259</f>
        <v>95000</v>
      </c>
      <c r="H259" s="21">
        <f t="shared" ref="H259:H322" si="20">IF(MAX($C$3:$C$375)=MIN($C$3:$C$375),5,1+9*(C259-MIN($C$3:$C$375))/(MAX($C$3:$C$375)-MIN($C$3:$C$375)))</f>
        <v>4.5999999999999996</v>
      </c>
      <c r="I259" s="21">
        <f t="shared" ref="I259:I322" si="21">1+9*(IF(E259="PhD",3,IF(E259="Master's",2,1))-1)/(3-1)</f>
        <v>1</v>
      </c>
      <c r="J259" s="21">
        <f t="shared" ref="J259:J322" si="22">IF(MAX($F$3:$F$375)=MIN($F$3:$F$375),5,1+9*(F259-MIN($F$3:$F$375))/(MAX($F$3:$F$375)-MIN($F$3:$F$375)))</f>
        <v>4.24</v>
      </c>
      <c r="K259" s="21">
        <f t="shared" ref="K259:K322" si="23">IF(MAX($G$3:$G$375)=MIN($G$3:$G$375),5,1+9*(G259-MIN($G$3:$G$375))/(MAX($G$3:$G$375)-MIN($G$3:$G$375)))</f>
        <v>4.4121770478670133</v>
      </c>
      <c r="L259" s="21">
        <f t="shared" ref="L259:L322" si="24">1+9*(IF(D259="Female",2,IF(D259="Male",1,1.5))-1)/(2-1)</f>
        <v>1</v>
      </c>
    </row>
    <row r="260" spans="1:12" ht="15" customHeight="1" x14ac:dyDescent="0.35">
      <c r="A260" s="11">
        <v>258</v>
      </c>
      <c r="B260" s="8" t="str">
        <f>'Data Mentah'!D260</f>
        <v>Director of Operations</v>
      </c>
      <c r="C260" s="22">
        <f>'Data Mentah'!A260</f>
        <v>50</v>
      </c>
      <c r="D260" s="11" t="str">
        <f>'Data Mentah'!B260</f>
        <v>Female</v>
      </c>
      <c r="E260" s="11" t="str">
        <f>'Data Mentah'!C260</f>
        <v>PhD</v>
      </c>
      <c r="F260" s="23">
        <f>'Data Mentah'!E260</f>
        <v>22</v>
      </c>
      <c r="G260" s="24">
        <f>'Data Mentah'!F260</f>
        <v>180000</v>
      </c>
      <c r="H260" s="25">
        <f t="shared" si="20"/>
        <v>9.1</v>
      </c>
      <c r="I260" s="25">
        <f t="shared" si="21"/>
        <v>10</v>
      </c>
      <c r="J260" s="25">
        <f t="shared" si="22"/>
        <v>8.92</v>
      </c>
      <c r="K260" s="25">
        <f t="shared" si="23"/>
        <v>7.4764670538754254</v>
      </c>
      <c r="L260" s="25">
        <f t="shared" si="24"/>
        <v>10</v>
      </c>
    </row>
    <row r="261" spans="1:12" ht="15" customHeight="1" x14ac:dyDescent="0.35">
      <c r="A261" s="14">
        <v>259</v>
      </c>
      <c r="B261" s="17" t="str">
        <f>'Data Mentah'!D261</f>
        <v>Junior Business Operations Analyst</v>
      </c>
      <c r="C261" s="18">
        <f>'Data Mentah'!A261</f>
        <v>29</v>
      </c>
      <c r="D261" s="14" t="str">
        <f>'Data Mentah'!B261</f>
        <v>Male</v>
      </c>
      <c r="E261" s="14" t="str">
        <f>'Data Mentah'!C261</f>
        <v>Bachelor's</v>
      </c>
      <c r="F261" s="19">
        <f>'Data Mentah'!E261</f>
        <v>1.5</v>
      </c>
      <c r="G261" s="20">
        <f>'Data Mentah'!F261</f>
        <v>350</v>
      </c>
      <c r="H261" s="21">
        <f t="shared" si="20"/>
        <v>2.8</v>
      </c>
      <c r="I261" s="21">
        <f t="shared" si="21"/>
        <v>1</v>
      </c>
      <c r="J261" s="21">
        <f t="shared" si="22"/>
        <v>1.54</v>
      </c>
      <c r="K261" s="21">
        <f t="shared" si="23"/>
        <v>1</v>
      </c>
      <c r="L261" s="21">
        <f t="shared" si="24"/>
        <v>1</v>
      </c>
    </row>
    <row r="262" spans="1:12" ht="15" customHeight="1" x14ac:dyDescent="0.35">
      <c r="A262" s="11">
        <v>260</v>
      </c>
      <c r="B262" s="8" t="str">
        <f>'Data Mentah'!D262</f>
        <v>Senior Financial Manager</v>
      </c>
      <c r="C262" s="22">
        <f>'Data Mentah'!A262</f>
        <v>37</v>
      </c>
      <c r="D262" s="11" t="str">
        <f>'Data Mentah'!B262</f>
        <v>Female</v>
      </c>
      <c r="E262" s="11" t="str">
        <f>'Data Mentah'!C262</f>
        <v>Bachelor's</v>
      </c>
      <c r="F262" s="23">
        <f>'Data Mentah'!E262</f>
        <v>10</v>
      </c>
      <c r="G262" s="24">
        <f>'Data Mentah'!F262</f>
        <v>120000</v>
      </c>
      <c r="H262" s="25">
        <f t="shared" si="20"/>
        <v>5.2</v>
      </c>
      <c r="I262" s="25">
        <f t="shared" si="21"/>
        <v>1</v>
      </c>
      <c r="J262" s="25">
        <f t="shared" si="22"/>
        <v>4.5999999999999996</v>
      </c>
      <c r="K262" s="25">
        <f t="shared" si="23"/>
        <v>5.3134388143400759</v>
      </c>
      <c r="L262" s="25">
        <f t="shared" si="24"/>
        <v>10</v>
      </c>
    </row>
    <row r="263" spans="1:12" ht="15" customHeight="1" x14ac:dyDescent="0.35">
      <c r="A263" s="14">
        <v>261</v>
      </c>
      <c r="B263" s="17" t="str">
        <f>'Data Mentah'!D263</f>
        <v>Senior Data Scientist</v>
      </c>
      <c r="C263" s="18">
        <f>'Data Mentah'!A263</f>
        <v>46</v>
      </c>
      <c r="D263" s="14" t="str">
        <f>'Data Mentah'!B263</f>
        <v>Male</v>
      </c>
      <c r="E263" s="14" t="str">
        <f>'Data Mentah'!C263</f>
        <v>PhD</v>
      </c>
      <c r="F263" s="19">
        <f>'Data Mentah'!E263</f>
        <v>18</v>
      </c>
      <c r="G263" s="20">
        <f>'Data Mentah'!F263</f>
        <v>160000</v>
      </c>
      <c r="H263" s="21">
        <f t="shared" si="20"/>
        <v>7.9</v>
      </c>
      <c r="I263" s="21">
        <f t="shared" si="21"/>
        <v>10</v>
      </c>
      <c r="J263" s="21">
        <f t="shared" si="22"/>
        <v>7.48</v>
      </c>
      <c r="K263" s="21">
        <f t="shared" si="23"/>
        <v>6.7554576406969762</v>
      </c>
      <c r="L263" s="21">
        <f t="shared" si="24"/>
        <v>1</v>
      </c>
    </row>
    <row r="264" spans="1:12" ht="15" customHeight="1" x14ac:dyDescent="0.35">
      <c r="A264" s="11">
        <v>262</v>
      </c>
      <c r="B264" s="8" t="str">
        <f>'Data Mentah'!D264</f>
        <v>Junior Marketing Coordinator</v>
      </c>
      <c r="C264" s="22">
        <f>'Data Mentah'!A264</f>
        <v>31</v>
      </c>
      <c r="D264" s="11" t="str">
        <f>'Data Mentah'!B264</f>
        <v>Female</v>
      </c>
      <c r="E264" s="11" t="str">
        <f>'Data Mentah'!C264</f>
        <v>Bachelor's</v>
      </c>
      <c r="F264" s="23">
        <f>'Data Mentah'!E264</f>
        <v>3</v>
      </c>
      <c r="G264" s="24">
        <f>'Data Mentah'!F264</f>
        <v>50000</v>
      </c>
      <c r="H264" s="25">
        <f t="shared" si="20"/>
        <v>3.4</v>
      </c>
      <c r="I264" s="25">
        <f t="shared" si="21"/>
        <v>1</v>
      </c>
      <c r="J264" s="25">
        <f t="shared" si="22"/>
        <v>2.08</v>
      </c>
      <c r="K264" s="25">
        <f t="shared" si="23"/>
        <v>2.7899058682155018</v>
      </c>
      <c r="L264" s="25">
        <f t="shared" si="24"/>
        <v>10</v>
      </c>
    </row>
    <row r="265" spans="1:12" ht="15" customHeight="1" x14ac:dyDescent="0.35">
      <c r="A265" s="14">
        <v>263</v>
      </c>
      <c r="B265" s="17" t="str">
        <f>'Data Mentah'!D265</f>
        <v>Senior Operations Manager</v>
      </c>
      <c r="C265" s="18">
        <f>'Data Mentah'!A265</f>
        <v>42</v>
      </c>
      <c r="D265" s="14" t="str">
        <f>'Data Mentah'!B265</f>
        <v>Male</v>
      </c>
      <c r="E265" s="14" t="str">
        <f>'Data Mentah'!C265</f>
        <v>Bachelor's</v>
      </c>
      <c r="F265" s="19">
        <f>'Data Mentah'!E265</f>
        <v>12</v>
      </c>
      <c r="G265" s="20">
        <f>'Data Mentah'!F265</f>
        <v>110000</v>
      </c>
      <c r="H265" s="21">
        <f t="shared" si="20"/>
        <v>6.7</v>
      </c>
      <c r="I265" s="21">
        <f t="shared" si="21"/>
        <v>1</v>
      </c>
      <c r="J265" s="21">
        <f t="shared" si="22"/>
        <v>5.32</v>
      </c>
      <c r="K265" s="21">
        <f t="shared" si="23"/>
        <v>4.9529341077508509</v>
      </c>
      <c r="L265" s="21">
        <f t="shared" si="24"/>
        <v>1</v>
      </c>
    </row>
    <row r="266" spans="1:12" ht="15" customHeight="1" x14ac:dyDescent="0.35">
      <c r="A266" s="11">
        <v>264</v>
      </c>
      <c r="B266" s="8" t="str">
        <f>'Data Mentah'!D266</f>
        <v>Junior Sales Representative</v>
      </c>
      <c r="C266" s="22">
        <f>'Data Mentah'!A266</f>
        <v>29</v>
      </c>
      <c r="D266" s="11" t="str">
        <f>'Data Mentah'!B266</f>
        <v>Female</v>
      </c>
      <c r="E266" s="11" t="str">
        <f>'Data Mentah'!C266</f>
        <v>Bachelor's</v>
      </c>
      <c r="F266" s="23">
        <f>'Data Mentah'!E266</f>
        <v>1.5</v>
      </c>
      <c r="G266" s="24">
        <f>'Data Mentah'!F266</f>
        <v>40000</v>
      </c>
      <c r="H266" s="25">
        <f t="shared" si="20"/>
        <v>2.8</v>
      </c>
      <c r="I266" s="25">
        <f t="shared" si="21"/>
        <v>1</v>
      </c>
      <c r="J266" s="25">
        <f t="shared" si="22"/>
        <v>1.54</v>
      </c>
      <c r="K266" s="25">
        <f t="shared" si="23"/>
        <v>2.4294011616262767</v>
      </c>
      <c r="L266" s="25">
        <f t="shared" si="24"/>
        <v>10</v>
      </c>
    </row>
    <row r="267" spans="1:12" ht="15" customHeight="1" x14ac:dyDescent="0.35">
      <c r="A267" s="14">
        <v>265</v>
      </c>
      <c r="B267" s="17" t="str">
        <f>'Data Mentah'!D267</f>
        <v>Senior Marketing Specialist</v>
      </c>
      <c r="C267" s="18">
        <f>'Data Mentah'!A267</f>
        <v>36</v>
      </c>
      <c r="D267" s="14" t="str">
        <f>'Data Mentah'!B267</f>
        <v>Male</v>
      </c>
      <c r="E267" s="14" t="str">
        <f>'Data Mentah'!C267</f>
        <v>Bachelor's</v>
      </c>
      <c r="F267" s="19">
        <f>'Data Mentah'!E267</f>
        <v>8</v>
      </c>
      <c r="G267" s="20">
        <f>'Data Mentah'!F267</f>
        <v>95000</v>
      </c>
      <c r="H267" s="21">
        <f t="shared" si="20"/>
        <v>4.9000000000000004</v>
      </c>
      <c r="I267" s="21">
        <f t="shared" si="21"/>
        <v>1</v>
      </c>
      <c r="J267" s="21">
        <f t="shared" si="22"/>
        <v>3.88</v>
      </c>
      <c r="K267" s="21">
        <f t="shared" si="23"/>
        <v>4.4121770478670133</v>
      </c>
      <c r="L267" s="21">
        <f t="shared" si="24"/>
        <v>1</v>
      </c>
    </row>
    <row r="268" spans="1:12" ht="15" customHeight="1" x14ac:dyDescent="0.35">
      <c r="A268" s="11">
        <v>266</v>
      </c>
      <c r="B268" s="8" t="str">
        <f>'Data Mentah'!D268</f>
        <v>Senior HR Specialist</v>
      </c>
      <c r="C268" s="22">
        <f>'Data Mentah'!A268</f>
        <v>44</v>
      </c>
      <c r="D268" s="11" t="str">
        <f>'Data Mentah'!B268</f>
        <v>Female</v>
      </c>
      <c r="E268" s="11" t="str">
        <f>'Data Mentah'!C268</f>
        <v>Master's</v>
      </c>
      <c r="F268" s="23">
        <f>'Data Mentah'!E268</f>
        <v>15</v>
      </c>
      <c r="G268" s="24">
        <f>'Data Mentah'!F268</f>
        <v>140000</v>
      </c>
      <c r="H268" s="25">
        <f t="shared" si="20"/>
        <v>7.3</v>
      </c>
      <c r="I268" s="25">
        <f t="shared" si="21"/>
        <v>5.5</v>
      </c>
      <c r="J268" s="25">
        <f t="shared" si="22"/>
        <v>6.4</v>
      </c>
      <c r="K268" s="25">
        <f t="shared" si="23"/>
        <v>6.0344482275185261</v>
      </c>
      <c r="L268" s="25">
        <f t="shared" si="24"/>
        <v>10</v>
      </c>
    </row>
    <row r="269" spans="1:12" ht="15" customHeight="1" x14ac:dyDescent="0.35">
      <c r="A269" s="14">
        <v>267</v>
      </c>
      <c r="B269" s="17" t="str">
        <f>'Data Mentah'!D269</f>
        <v>Junior Operations Manager</v>
      </c>
      <c r="C269" s="18">
        <f>'Data Mentah'!A269</f>
        <v>33</v>
      </c>
      <c r="D269" s="14" t="str">
        <f>'Data Mentah'!B269</f>
        <v>Male</v>
      </c>
      <c r="E269" s="14" t="str">
        <f>'Data Mentah'!C269</f>
        <v>Bachelor's</v>
      </c>
      <c r="F269" s="19">
        <f>'Data Mentah'!E269</f>
        <v>4</v>
      </c>
      <c r="G269" s="20">
        <f>'Data Mentah'!F269</f>
        <v>60000</v>
      </c>
      <c r="H269" s="21">
        <f t="shared" si="20"/>
        <v>4</v>
      </c>
      <c r="I269" s="21">
        <f t="shared" si="21"/>
        <v>1</v>
      </c>
      <c r="J269" s="21">
        <f t="shared" si="22"/>
        <v>2.44</v>
      </c>
      <c r="K269" s="21">
        <f t="shared" si="23"/>
        <v>3.1504105748047264</v>
      </c>
      <c r="L269" s="21">
        <f t="shared" si="24"/>
        <v>1</v>
      </c>
    </row>
    <row r="270" spans="1:12" ht="15" customHeight="1" x14ac:dyDescent="0.35">
      <c r="A270" s="11">
        <v>268</v>
      </c>
      <c r="B270" s="8" t="str">
        <f>'Data Mentah'!D270</f>
        <v>Senior Marketing Coordinator</v>
      </c>
      <c r="C270" s="22">
        <f>'Data Mentah'!A270</f>
        <v>39</v>
      </c>
      <c r="D270" s="11" t="str">
        <f>'Data Mentah'!B270</f>
        <v>Female</v>
      </c>
      <c r="E270" s="11" t="str">
        <f>'Data Mentah'!C270</f>
        <v>Bachelor's</v>
      </c>
      <c r="F270" s="23">
        <f>'Data Mentah'!E270</f>
        <v>9</v>
      </c>
      <c r="G270" s="24">
        <f>'Data Mentah'!F270</f>
        <v>110000</v>
      </c>
      <c r="H270" s="25">
        <f t="shared" si="20"/>
        <v>5.8</v>
      </c>
      <c r="I270" s="25">
        <f t="shared" si="21"/>
        <v>1</v>
      </c>
      <c r="J270" s="25">
        <f t="shared" si="22"/>
        <v>4.24</v>
      </c>
      <c r="K270" s="25">
        <f t="shared" si="23"/>
        <v>4.9529341077508509</v>
      </c>
      <c r="L270" s="25">
        <f t="shared" si="24"/>
        <v>10</v>
      </c>
    </row>
    <row r="271" spans="1:12" ht="15" customHeight="1" x14ac:dyDescent="0.35">
      <c r="A271" s="14">
        <v>269</v>
      </c>
      <c r="B271" s="17" t="str">
        <f>'Data Mentah'!D271</f>
        <v>Senior Data Engineer</v>
      </c>
      <c r="C271" s="18">
        <f>'Data Mentah'!A271</f>
        <v>45</v>
      </c>
      <c r="D271" s="14" t="str">
        <f>'Data Mentah'!B271</f>
        <v>Male</v>
      </c>
      <c r="E271" s="14" t="str">
        <f>'Data Mentah'!C271</f>
        <v>PhD</v>
      </c>
      <c r="F271" s="19">
        <f>'Data Mentah'!E271</f>
        <v>16</v>
      </c>
      <c r="G271" s="20">
        <f>'Data Mentah'!F271</f>
        <v>150000</v>
      </c>
      <c r="H271" s="21">
        <f t="shared" si="20"/>
        <v>7.6</v>
      </c>
      <c r="I271" s="21">
        <f t="shared" si="21"/>
        <v>10</v>
      </c>
      <c r="J271" s="21">
        <f t="shared" si="22"/>
        <v>6.76</v>
      </c>
      <c r="K271" s="21">
        <f t="shared" si="23"/>
        <v>6.3949529341077511</v>
      </c>
      <c r="L271" s="21">
        <f t="shared" si="24"/>
        <v>1</v>
      </c>
    </row>
    <row r="272" spans="1:12" ht="15" customHeight="1" x14ac:dyDescent="0.35">
      <c r="A272" s="11">
        <v>270</v>
      </c>
      <c r="B272" s="8" t="str">
        <f>'Data Mentah'!D272</f>
        <v>Junior Marketing Manager</v>
      </c>
      <c r="C272" s="22">
        <f>'Data Mentah'!A272</f>
        <v>32</v>
      </c>
      <c r="D272" s="11" t="str">
        <f>'Data Mentah'!B272</f>
        <v>Female</v>
      </c>
      <c r="E272" s="11" t="str">
        <f>'Data Mentah'!C272</f>
        <v>Bachelor's</v>
      </c>
      <c r="F272" s="23">
        <f>'Data Mentah'!E272</f>
        <v>4</v>
      </c>
      <c r="G272" s="24">
        <f>'Data Mentah'!F272</f>
        <v>60000</v>
      </c>
      <c r="H272" s="25">
        <f t="shared" si="20"/>
        <v>3.7</v>
      </c>
      <c r="I272" s="25">
        <f t="shared" si="21"/>
        <v>1</v>
      </c>
      <c r="J272" s="25">
        <f t="shared" si="22"/>
        <v>2.44</v>
      </c>
      <c r="K272" s="25">
        <f t="shared" si="23"/>
        <v>3.1504105748047264</v>
      </c>
      <c r="L272" s="25">
        <f t="shared" si="24"/>
        <v>10</v>
      </c>
    </row>
    <row r="273" spans="1:12" ht="15" customHeight="1" x14ac:dyDescent="0.35">
      <c r="A273" s="14">
        <v>271</v>
      </c>
      <c r="B273" s="17" t="str">
        <f>'Data Mentah'!D273</f>
        <v>Senior Financial Analyst</v>
      </c>
      <c r="C273" s="18">
        <f>'Data Mentah'!A273</f>
        <v>37</v>
      </c>
      <c r="D273" s="14" t="str">
        <f>'Data Mentah'!B273</f>
        <v>Male</v>
      </c>
      <c r="E273" s="14" t="str">
        <f>'Data Mentah'!C273</f>
        <v>Bachelor's</v>
      </c>
      <c r="F273" s="19">
        <f>'Data Mentah'!E273</f>
        <v>8</v>
      </c>
      <c r="G273" s="20">
        <f>'Data Mentah'!F273</f>
        <v>90000</v>
      </c>
      <c r="H273" s="21">
        <f t="shared" si="20"/>
        <v>5.2</v>
      </c>
      <c r="I273" s="21">
        <f t="shared" si="21"/>
        <v>1</v>
      </c>
      <c r="J273" s="21">
        <f t="shared" si="22"/>
        <v>3.88</v>
      </c>
      <c r="K273" s="21">
        <f t="shared" si="23"/>
        <v>4.2319246945724007</v>
      </c>
      <c r="L273" s="21">
        <f t="shared" si="24"/>
        <v>1</v>
      </c>
    </row>
    <row r="274" spans="1:12" ht="15" customHeight="1" x14ac:dyDescent="0.35">
      <c r="A274" s="11">
        <v>272</v>
      </c>
      <c r="B274" s="8" t="str">
        <f>'Data Mentah'!D274</f>
        <v>Director of Marketing</v>
      </c>
      <c r="C274" s="22">
        <f>'Data Mentah'!A274</f>
        <v>47</v>
      </c>
      <c r="D274" s="11" t="str">
        <f>'Data Mentah'!B274</f>
        <v>Female</v>
      </c>
      <c r="E274" s="11" t="str">
        <f>'Data Mentah'!C274</f>
        <v>Master's</v>
      </c>
      <c r="F274" s="23">
        <f>'Data Mentah'!E274</f>
        <v>20</v>
      </c>
      <c r="G274" s="24">
        <f>'Data Mentah'!F274</f>
        <v>180000</v>
      </c>
      <c r="H274" s="25">
        <f t="shared" si="20"/>
        <v>8.1999999999999993</v>
      </c>
      <c r="I274" s="25">
        <f t="shared" si="21"/>
        <v>5.5</v>
      </c>
      <c r="J274" s="25">
        <f t="shared" si="22"/>
        <v>8.1999999999999993</v>
      </c>
      <c r="K274" s="25">
        <f t="shared" si="23"/>
        <v>7.4764670538754254</v>
      </c>
      <c r="L274" s="25">
        <f t="shared" si="24"/>
        <v>10</v>
      </c>
    </row>
    <row r="275" spans="1:12" ht="15" customHeight="1" x14ac:dyDescent="0.35">
      <c r="A275" s="14">
        <v>273</v>
      </c>
      <c r="B275" s="17" t="str">
        <f>'Data Mentah'!D275</f>
        <v>Junior Business Analyst</v>
      </c>
      <c r="C275" s="18">
        <f>'Data Mentah'!A275</f>
        <v>30</v>
      </c>
      <c r="D275" s="14" t="str">
        <f>'Data Mentah'!B275</f>
        <v>Male</v>
      </c>
      <c r="E275" s="14" t="str">
        <f>'Data Mentah'!C275</f>
        <v>Bachelor's</v>
      </c>
      <c r="F275" s="19">
        <f>'Data Mentah'!E275</f>
        <v>2</v>
      </c>
      <c r="G275" s="20">
        <f>'Data Mentah'!F275</f>
        <v>40000</v>
      </c>
      <c r="H275" s="21">
        <f t="shared" si="20"/>
        <v>3.1</v>
      </c>
      <c r="I275" s="21">
        <f t="shared" si="21"/>
        <v>1</v>
      </c>
      <c r="J275" s="21">
        <f t="shared" si="22"/>
        <v>1.72</v>
      </c>
      <c r="K275" s="21">
        <f t="shared" si="23"/>
        <v>2.4294011616262767</v>
      </c>
      <c r="L275" s="21">
        <f t="shared" si="24"/>
        <v>1</v>
      </c>
    </row>
    <row r="276" spans="1:12" ht="15" customHeight="1" x14ac:dyDescent="0.35">
      <c r="A276" s="11">
        <v>274</v>
      </c>
      <c r="B276" s="8" t="str">
        <f>'Data Mentah'!D276</f>
        <v>Senior Project Manager</v>
      </c>
      <c r="C276" s="22">
        <f>'Data Mentah'!A276</f>
        <v>38</v>
      </c>
      <c r="D276" s="11" t="str">
        <f>'Data Mentah'!B276</f>
        <v>Female</v>
      </c>
      <c r="E276" s="11" t="str">
        <f>'Data Mentah'!C276</f>
        <v>Bachelor's</v>
      </c>
      <c r="F276" s="23">
        <f>'Data Mentah'!E276</f>
        <v>9</v>
      </c>
      <c r="G276" s="24">
        <f>'Data Mentah'!F276</f>
        <v>120000</v>
      </c>
      <c r="H276" s="25">
        <f t="shared" si="20"/>
        <v>5.5</v>
      </c>
      <c r="I276" s="25">
        <f t="shared" si="21"/>
        <v>1</v>
      </c>
      <c r="J276" s="25">
        <f t="shared" si="22"/>
        <v>4.24</v>
      </c>
      <c r="K276" s="25">
        <f t="shared" si="23"/>
        <v>5.3134388143400759</v>
      </c>
      <c r="L276" s="25">
        <f t="shared" si="24"/>
        <v>10</v>
      </c>
    </row>
    <row r="277" spans="1:12" ht="15" customHeight="1" x14ac:dyDescent="0.35">
      <c r="A277" s="14">
        <v>275</v>
      </c>
      <c r="B277" s="17" t="str">
        <f>'Data Mentah'!D277</f>
        <v>Senior Data Analyst</v>
      </c>
      <c r="C277" s="18">
        <f>'Data Mentah'!A277</f>
        <v>46</v>
      </c>
      <c r="D277" s="14" t="str">
        <f>'Data Mentah'!B277</f>
        <v>Male</v>
      </c>
      <c r="E277" s="14" t="str">
        <f>'Data Mentah'!C277</f>
        <v>PhD</v>
      </c>
      <c r="F277" s="19">
        <f>'Data Mentah'!E277</f>
        <v>17</v>
      </c>
      <c r="G277" s="20">
        <f>'Data Mentah'!F277</f>
        <v>160000</v>
      </c>
      <c r="H277" s="21">
        <f t="shared" si="20"/>
        <v>7.9</v>
      </c>
      <c r="I277" s="21">
        <f t="shared" si="21"/>
        <v>10</v>
      </c>
      <c r="J277" s="21">
        <f t="shared" si="22"/>
        <v>7.12</v>
      </c>
      <c r="K277" s="21">
        <f t="shared" si="23"/>
        <v>6.7554576406969762</v>
      </c>
      <c r="L277" s="21">
        <f t="shared" si="24"/>
        <v>1</v>
      </c>
    </row>
    <row r="278" spans="1:12" ht="15" customHeight="1" x14ac:dyDescent="0.35">
      <c r="A278" s="11">
        <v>276</v>
      </c>
      <c r="B278" s="8" t="str">
        <f>'Data Mentah'!D278</f>
        <v>Junior Financial Analyst</v>
      </c>
      <c r="C278" s="22">
        <f>'Data Mentah'!A278</f>
        <v>34</v>
      </c>
      <c r="D278" s="11" t="str">
        <f>'Data Mentah'!B278</f>
        <v>Female</v>
      </c>
      <c r="E278" s="11" t="str">
        <f>'Data Mentah'!C278</f>
        <v>Bachelor's</v>
      </c>
      <c r="F278" s="23">
        <f>'Data Mentah'!E278</f>
        <v>5</v>
      </c>
      <c r="G278" s="24">
        <f>'Data Mentah'!F278</f>
        <v>70000</v>
      </c>
      <c r="H278" s="25">
        <f t="shared" si="20"/>
        <v>4.3</v>
      </c>
      <c r="I278" s="25">
        <f t="shared" si="21"/>
        <v>1</v>
      </c>
      <c r="J278" s="25">
        <f t="shared" si="22"/>
        <v>2.8</v>
      </c>
      <c r="K278" s="25">
        <f t="shared" si="23"/>
        <v>3.5109152813939515</v>
      </c>
      <c r="L278" s="25">
        <f t="shared" si="24"/>
        <v>10</v>
      </c>
    </row>
    <row r="279" spans="1:12" ht="15" customHeight="1" x14ac:dyDescent="0.35">
      <c r="A279" s="14">
        <v>277</v>
      </c>
      <c r="B279" s="17" t="str">
        <f>'Data Mentah'!D279</f>
        <v>Senior Product Manager</v>
      </c>
      <c r="C279" s="18">
        <f>'Data Mentah'!A279</f>
        <v>36</v>
      </c>
      <c r="D279" s="14" t="str">
        <f>'Data Mentah'!B279</f>
        <v>Male</v>
      </c>
      <c r="E279" s="14" t="str">
        <f>'Data Mentah'!C279</f>
        <v>Bachelor's</v>
      </c>
      <c r="F279" s="19">
        <f>'Data Mentah'!E279</f>
        <v>8</v>
      </c>
      <c r="G279" s="20">
        <f>'Data Mentah'!F279</f>
        <v>95000</v>
      </c>
      <c r="H279" s="21">
        <f t="shared" si="20"/>
        <v>4.9000000000000004</v>
      </c>
      <c r="I279" s="21">
        <f t="shared" si="21"/>
        <v>1</v>
      </c>
      <c r="J279" s="21">
        <f t="shared" si="22"/>
        <v>3.88</v>
      </c>
      <c r="K279" s="21">
        <f t="shared" si="23"/>
        <v>4.4121770478670133</v>
      </c>
      <c r="L279" s="21">
        <f t="shared" si="24"/>
        <v>1</v>
      </c>
    </row>
    <row r="280" spans="1:12" ht="15" customHeight="1" x14ac:dyDescent="0.35">
      <c r="A280" s="11">
        <v>278</v>
      </c>
      <c r="B280" s="8" t="str">
        <f>'Data Mentah'!D280</f>
        <v>Director of Operations</v>
      </c>
      <c r="C280" s="22">
        <f>'Data Mentah'!A280</f>
        <v>49</v>
      </c>
      <c r="D280" s="11" t="str">
        <f>'Data Mentah'!B280</f>
        <v>Female</v>
      </c>
      <c r="E280" s="11" t="str">
        <f>'Data Mentah'!C280</f>
        <v>Master's</v>
      </c>
      <c r="F280" s="23">
        <f>'Data Mentah'!E280</f>
        <v>21</v>
      </c>
      <c r="G280" s="24">
        <f>'Data Mentah'!F280</f>
        <v>180000</v>
      </c>
      <c r="H280" s="25">
        <f t="shared" si="20"/>
        <v>8.8000000000000007</v>
      </c>
      <c r="I280" s="25">
        <f t="shared" si="21"/>
        <v>5.5</v>
      </c>
      <c r="J280" s="25">
        <f t="shared" si="22"/>
        <v>8.5599999999999987</v>
      </c>
      <c r="K280" s="25">
        <f t="shared" si="23"/>
        <v>7.4764670538754254</v>
      </c>
      <c r="L280" s="25">
        <f t="shared" si="24"/>
        <v>10</v>
      </c>
    </row>
    <row r="281" spans="1:12" ht="15" customHeight="1" x14ac:dyDescent="0.35">
      <c r="A281" s="14">
        <v>279</v>
      </c>
      <c r="B281" s="17" t="str">
        <f>'Data Mentah'!D281</f>
        <v>Junior Operations Analyst</v>
      </c>
      <c r="C281" s="18">
        <f>'Data Mentah'!A281</f>
        <v>31</v>
      </c>
      <c r="D281" s="14" t="str">
        <f>'Data Mentah'!B281</f>
        <v>Male</v>
      </c>
      <c r="E281" s="14" t="str">
        <f>'Data Mentah'!C281</f>
        <v>Bachelor's</v>
      </c>
      <c r="F281" s="19">
        <f>'Data Mentah'!E281</f>
        <v>3</v>
      </c>
      <c r="G281" s="20">
        <f>'Data Mentah'!F281</f>
        <v>50000</v>
      </c>
      <c r="H281" s="21">
        <f t="shared" si="20"/>
        <v>3.4</v>
      </c>
      <c r="I281" s="21">
        <f t="shared" si="21"/>
        <v>1</v>
      </c>
      <c r="J281" s="21">
        <f t="shared" si="22"/>
        <v>2.08</v>
      </c>
      <c r="K281" s="21">
        <f t="shared" si="23"/>
        <v>2.7899058682155018</v>
      </c>
      <c r="L281" s="21">
        <f t="shared" si="24"/>
        <v>1</v>
      </c>
    </row>
    <row r="282" spans="1:12" ht="15" customHeight="1" x14ac:dyDescent="0.35">
      <c r="A282" s="11">
        <v>280</v>
      </c>
      <c r="B282" s="8" t="str">
        <f>'Data Mentah'!D282</f>
        <v>Senior Project Coordinator</v>
      </c>
      <c r="C282" s="22">
        <f>'Data Mentah'!A282</f>
        <v>41</v>
      </c>
      <c r="D282" s="11" t="str">
        <f>'Data Mentah'!B282</f>
        <v>Female</v>
      </c>
      <c r="E282" s="11" t="str">
        <f>'Data Mentah'!C282</f>
        <v>Bachelor's</v>
      </c>
      <c r="F282" s="23">
        <f>'Data Mentah'!E282</f>
        <v>11</v>
      </c>
      <c r="G282" s="24">
        <f>'Data Mentah'!F282</f>
        <v>95000</v>
      </c>
      <c r="H282" s="25">
        <f t="shared" si="20"/>
        <v>6.4</v>
      </c>
      <c r="I282" s="25">
        <f t="shared" si="21"/>
        <v>1</v>
      </c>
      <c r="J282" s="25">
        <f t="shared" si="22"/>
        <v>4.96</v>
      </c>
      <c r="K282" s="25">
        <f t="shared" si="23"/>
        <v>4.4121770478670133</v>
      </c>
      <c r="L282" s="25">
        <f t="shared" si="24"/>
        <v>10</v>
      </c>
    </row>
    <row r="283" spans="1:12" ht="15" customHeight="1" x14ac:dyDescent="0.35">
      <c r="A283" s="14">
        <v>281</v>
      </c>
      <c r="B283" s="17" t="str">
        <f>'Data Mentah'!D283</f>
        <v>Director of Marketing</v>
      </c>
      <c r="C283" s="18">
        <f>'Data Mentah'!A283</f>
        <v>47</v>
      </c>
      <c r="D283" s="14" t="str">
        <f>'Data Mentah'!B283</f>
        <v>Male</v>
      </c>
      <c r="E283" s="14" t="str">
        <f>'Data Mentah'!C283</f>
        <v>Master's</v>
      </c>
      <c r="F283" s="19">
        <f>'Data Mentah'!E283</f>
        <v>19</v>
      </c>
      <c r="G283" s="20">
        <f>'Data Mentah'!F283</f>
        <v>170000</v>
      </c>
      <c r="H283" s="21">
        <f t="shared" si="20"/>
        <v>8.1999999999999993</v>
      </c>
      <c r="I283" s="21">
        <f t="shared" si="21"/>
        <v>5.5</v>
      </c>
      <c r="J283" s="21">
        <f t="shared" si="22"/>
        <v>7.84</v>
      </c>
      <c r="K283" s="21">
        <f t="shared" si="23"/>
        <v>7.1159623472862004</v>
      </c>
      <c r="L283" s="21">
        <f t="shared" si="24"/>
        <v>1</v>
      </c>
    </row>
    <row r="284" spans="1:12" ht="15" customHeight="1" x14ac:dyDescent="0.35">
      <c r="A284" s="11">
        <v>282</v>
      </c>
      <c r="B284" s="8" t="str">
        <f>'Data Mentah'!D284</f>
        <v>Junior Business Development Associate</v>
      </c>
      <c r="C284" s="22">
        <f>'Data Mentah'!A284</f>
        <v>29</v>
      </c>
      <c r="D284" s="11" t="str">
        <f>'Data Mentah'!B284</f>
        <v>Female</v>
      </c>
      <c r="E284" s="11" t="str">
        <f>'Data Mentah'!C284</f>
        <v>Bachelor's</v>
      </c>
      <c r="F284" s="23">
        <f>'Data Mentah'!E284</f>
        <v>1.5</v>
      </c>
      <c r="G284" s="24">
        <f>'Data Mentah'!F284</f>
        <v>35000</v>
      </c>
      <c r="H284" s="25">
        <f t="shared" si="20"/>
        <v>2.8</v>
      </c>
      <c r="I284" s="25">
        <f t="shared" si="21"/>
        <v>1</v>
      </c>
      <c r="J284" s="25">
        <f t="shared" si="22"/>
        <v>1.54</v>
      </c>
      <c r="K284" s="25">
        <f t="shared" si="23"/>
        <v>2.2491488083316646</v>
      </c>
      <c r="L284" s="25">
        <f t="shared" si="24"/>
        <v>10</v>
      </c>
    </row>
    <row r="285" spans="1:12" ht="15" customHeight="1" x14ac:dyDescent="0.35">
      <c r="A285" s="14">
        <v>283</v>
      </c>
      <c r="B285" s="17" t="str">
        <f>'Data Mentah'!D285</f>
        <v>Senior Financial Manager</v>
      </c>
      <c r="C285" s="18">
        <f>'Data Mentah'!A285</f>
        <v>35</v>
      </c>
      <c r="D285" s="14" t="str">
        <f>'Data Mentah'!B285</f>
        <v>Male</v>
      </c>
      <c r="E285" s="14" t="str">
        <f>'Data Mentah'!C285</f>
        <v>Bachelor's</v>
      </c>
      <c r="F285" s="19">
        <f>'Data Mentah'!E285</f>
        <v>9</v>
      </c>
      <c r="G285" s="20">
        <f>'Data Mentah'!F285</f>
        <v>100000</v>
      </c>
      <c r="H285" s="21">
        <f t="shared" si="20"/>
        <v>4.5999999999999996</v>
      </c>
      <c r="I285" s="21">
        <f t="shared" si="21"/>
        <v>1</v>
      </c>
      <c r="J285" s="21">
        <f t="shared" si="22"/>
        <v>4.24</v>
      </c>
      <c r="K285" s="21">
        <f t="shared" si="23"/>
        <v>4.5924294011616258</v>
      </c>
      <c r="L285" s="21">
        <f t="shared" si="24"/>
        <v>1</v>
      </c>
    </row>
    <row r="286" spans="1:12" ht="15" customHeight="1" x14ac:dyDescent="0.35">
      <c r="A286" s="11">
        <v>284</v>
      </c>
      <c r="B286" s="8" t="str">
        <f>'Data Mentah'!D286</f>
        <v>Senior Product Designer</v>
      </c>
      <c r="C286" s="22">
        <f>'Data Mentah'!A286</f>
        <v>44</v>
      </c>
      <c r="D286" s="11" t="str">
        <f>'Data Mentah'!B286</f>
        <v>Female</v>
      </c>
      <c r="E286" s="11" t="str">
        <f>'Data Mentah'!C286</f>
        <v>PhD</v>
      </c>
      <c r="F286" s="23">
        <f>'Data Mentah'!E286</f>
        <v>15</v>
      </c>
      <c r="G286" s="24">
        <f>'Data Mentah'!F286</f>
        <v>150000</v>
      </c>
      <c r="H286" s="25">
        <f t="shared" si="20"/>
        <v>7.3</v>
      </c>
      <c r="I286" s="25">
        <f t="shared" si="21"/>
        <v>10</v>
      </c>
      <c r="J286" s="25">
        <f t="shared" si="22"/>
        <v>6.4</v>
      </c>
      <c r="K286" s="25">
        <f t="shared" si="23"/>
        <v>6.3949529341077511</v>
      </c>
      <c r="L286" s="25">
        <f t="shared" si="24"/>
        <v>10</v>
      </c>
    </row>
    <row r="287" spans="1:12" ht="15" customHeight="1" x14ac:dyDescent="0.35">
      <c r="A287" s="14">
        <v>285</v>
      </c>
      <c r="B287" s="17" t="str">
        <f>'Data Mentah'!D287</f>
        <v>Junior Business Analyst</v>
      </c>
      <c r="C287" s="18">
        <f>'Data Mentah'!A287</f>
        <v>33</v>
      </c>
      <c r="D287" s="14" t="str">
        <f>'Data Mentah'!B287</f>
        <v>Male</v>
      </c>
      <c r="E287" s="14" t="str">
        <f>'Data Mentah'!C287</f>
        <v>Bachelor's</v>
      </c>
      <c r="F287" s="19">
        <f>'Data Mentah'!E287</f>
        <v>4</v>
      </c>
      <c r="G287" s="20">
        <f>'Data Mentah'!F287</f>
        <v>60000</v>
      </c>
      <c r="H287" s="21">
        <f t="shared" si="20"/>
        <v>4</v>
      </c>
      <c r="I287" s="21">
        <f t="shared" si="21"/>
        <v>1</v>
      </c>
      <c r="J287" s="21">
        <f t="shared" si="22"/>
        <v>2.44</v>
      </c>
      <c r="K287" s="21">
        <f t="shared" si="23"/>
        <v>3.1504105748047264</v>
      </c>
      <c r="L287" s="21">
        <f t="shared" si="24"/>
        <v>1</v>
      </c>
    </row>
    <row r="288" spans="1:12" ht="15" customHeight="1" x14ac:dyDescent="0.35">
      <c r="A288" s="11">
        <v>286</v>
      </c>
      <c r="B288" s="8" t="str">
        <f>'Data Mentah'!D288</f>
        <v>Senior Marketing Analyst</v>
      </c>
      <c r="C288" s="22">
        <f>'Data Mentah'!A288</f>
        <v>35</v>
      </c>
      <c r="D288" s="11" t="str">
        <f>'Data Mentah'!B288</f>
        <v>Female</v>
      </c>
      <c r="E288" s="11" t="str">
        <f>'Data Mentah'!C288</f>
        <v>Bachelor's</v>
      </c>
      <c r="F288" s="23">
        <f>'Data Mentah'!E288</f>
        <v>8</v>
      </c>
      <c r="G288" s="24">
        <f>'Data Mentah'!F288</f>
        <v>85000</v>
      </c>
      <c r="H288" s="25">
        <f t="shared" si="20"/>
        <v>4.5999999999999996</v>
      </c>
      <c r="I288" s="25">
        <f t="shared" si="21"/>
        <v>1</v>
      </c>
      <c r="J288" s="25">
        <f t="shared" si="22"/>
        <v>3.88</v>
      </c>
      <c r="K288" s="25">
        <f t="shared" si="23"/>
        <v>4.0516723412777891</v>
      </c>
      <c r="L288" s="25">
        <f t="shared" si="24"/>
        <v>10</v>
      </c>
    </row>
    <row r="289" spans="1:12" ht="15" customHeight="1" x14ac:dyDescent="0.35">
      <c r="A289" s="14">
        <v>287</v>
      </c>
      <c r="B289" s="17" t="str">
        <f>'Data Mentah'!D289</f>
        <v>Senior Software Engineer</v>
      </c>
      <c r="C289" s="18">
        <f>'Data Mentah'!A289</f>
        <v>44</v>
      </c>
      <c r="D289" s="14" t="str">
        <f>'Data Mentah'!B289</f>
        <v>Male</v>
      </c>
      <c r="E289" s="14" t="str">
        <f>'Data Mentah'!C289</f>
        <v>Bachelor's</v>
      </c>
      <c r="F289" s="19">
        <f>'Data Mentah'!E289</f>
        <v>13</v>
      </c>
      <c r="G289" s="20">
        <f>'Data Mentah'!F289</f>
        <v>130000</v>
      </c>
      <c r="H289" s="21">
        <f t="shared" si="20"/>
        <v>7.3</v>
      </c>
      <c r="I289" s="21">
        <f t="shared" si="21"/>
        <v>1</v>
      </c>
      <c r="J289" s="21">
        <f t="shared" si="22"/>
        <v>5.68</v>
      </c>
      <c r="K289" s="21">
        <f t="shared" si="23"/>
        <v>5.673943520929301</v>
      </c>
      <c r="L289" s="21">
        <f t="shared" si="24"/>
        <v>1</v>
      </c>
    </row>
    <row r="290" spans="1:12" ht="15" customHeight="1" x14ac:dyDescent="0.35">
      <c r="A290" s="11">
        <v>288</v>
      </c>
      <c r="B290" s="8" t="str">
        <f>'Data Mentah'!D290</f>
        <v>Junior Product Manager</v>
      </c>
      <c r="C290" s="22">
        <f>'Data Mentah'!A290</f>
        <v>32</v>
      </c>
      <c r="D290" s="11" t="str">
        <f>'Data Mentah'!B290</f>
        <v>Male</v>
      </c>
      <c r="E290" s="11" t="str">
        <f>'Data Mentah'!C290</f>
        <v>Bachelor's</v>
      </c>
      <c r="F290" s="23">
        <f>'Data Mentah'!E290</f>
        <v>4</v>
      </c>
      <c r="G290" s="24">
        <f>'Data Mentah'!F290</f>
        <v>65000</v>
      </c>
      <c r="H290" s="25">
        <f t="shared" si="20"/>
        <v>3.7</v>
      </c>
      <c r="I290" s="25">
        <f t="shared" si="21"/>
        <v>1</v>
      </c>
      <c r="J290" s="25">
        <f t="shared" si="22"/>
        <v>2.44</v>
      </c>
      <c r="K290" s="25">
        <f t="shared" si="23"/>
        <v>3.3306629280993389</v>
      </c>
      <c r="L290" s="25">
        <f t="shared" si="24"/>
        <v>1</v>
      </c>
    </row>
    <row r="291" spans="1:12" ht="15" customHeight="1" x14ac:dyDescent="0.35">
      <c r="A291" s="14">
        <v>289</v>
      </c>
      <c r="B291" s="17" t="str">
        <f>'Data Mentah'!D291</f>
        <v>Senior Business Analyst</v>
      </c>
      <c r="C291" s="18">
        <f>'Data Mentah'!A291</f>
        <v>38</v>
      </c>
      <c r="D291" s="14" t="str">
        <f>'Data Mentah'!B291</f>
        <v>Female</v>
      </c>
      <c r="E291" s="14" t="str">
        <f>'Data Mentah'!C291</f>
        <v>Bachelor's</v>
      </c>
      <c r="F291" s="19">
        <f>'Data Mentah'!E291</f>
        <v>10</v>
      </c>
      <c r="G291" s="20">
        <f>'Data Mentah'!F291</f>
        <v>110000</v>
      </c>
      <c r="H291" s="21">
        <f t="shared" si="20"/>
        <v>5.5</v>
      </c>
      <c r="I291" s="21">
        <f t="shared" si="21"/>
        <v>1</v>
      </c>
      <c r="J291" s="21">
        <f t="shared" si="22"/>
        <v>4.5999999999999996</v>
      </c>
      <c r="K291" s="21">
        <f t="shared" si="23"/>
        <v>4.9529341077508509</v>
      </c>
      <c r="L291" s="21">
        <f t="shared" si="24"/>
        <v>10</v>
      </c>
    </row>
    <row r="292" spans="1:12" ht="15" customHeight="1" x14ac:dyDescent="0.35">
      <c r="A292" s="11">
        <v>290</v>
      </c>
      <c r="B292" s="8" t="str">
        <f>'Data Mentah'!D292</f>
        <v>Director of Operations</v>
      </c>
      <c r="C292" s="22">
        <f>'Data Mentah'!A292</f>
        <v>49</v>
      </c>
      <c r="D292" s="11" t="str">
        <f>'Data Mentah'!B292</f>
        <v>Male</v>
      </c>
      <c r="E292" s="11" t="str">
        <f>'Data Mentah'!C292</f>
        <v>PhD</v>
      </c>
      <c r="F292" s="23">
        <f>'Data Mentah'!E292</f>
        <v>21</v>
      </c>
      <c r="G292" s="24">
        <f>'Data Mentah'!F292</f>
        <v>180000</v>
      </c>
      <c r="H292" s="25">
        <f t="shared" si="20"/>
        <v>8.8000000000000007</v>
      </c>
      <c r="I292" s="25">
        <f t="shared" si="21"/>
        <v>10</v>
      </c>
      <c r="J292" s="25">
        <f t="shared" si="22"/>
        <v>8.5599999999999987</v>
      </c>
      <c r="K292" s="25">
        <f t="shared" si="23"/>
        <v>7.4764670538754254</v>
      </c>
      <c r="L292" s="25">
        <f t="shared" si="24"/>
        <v>1</v>
      </c>
    </row>
    <row r="293" spans="1:12" ht="15" customHeight="1" x14ac:dyDescent="0.35">
      <c r="A293" s="14">
        <v>291</v>
      </c>
      <c r="B293" s="17" t="str">
        <f>'Data Mentah'!D293</f>
        <v>Junior Marketing Specialist</v>
      </c>
      <c r="C293" s="18">
        <f>'Data Mentah'!A293</f>
        <v>29</v>
      </c>
      <c r="D293" s="14" t="str">
        <f>'Data Mentah'!B293</f>
        <v>Female</v>
      </c>
      <c r="E293" s="14" t="str">
        <f>'Data Mentah'!C293</f>
        <v>Bachelor's</v>
      </c>
      <c r="F293" s="19">
        <f>'Data Mentah'!E293</f>
        <v>2</v>
      </c>
      <c r="G293" s="20">
        <f>'Data Mentah'!F293</f>
        <v>40000</v>
      </c>
      <c r="H293" s="21">
        <f t="shared" si="20"/>
        <v>2.8</v>
      </c>
      <c r="I293" s="21">
        <f t="shared" si="21"/>
        <v>1</v>
      </c>
      <c r="J293" s="21">
        <f t="shared" si="22"/>
        <v>1.72</v>
      </c>
      <c r="K293" s="21">
        <f t="shared" si="23"/>
        <v>2.4294011616262767</v>
      </c>
      <c r="L293" s="21">
        <f t="shared" si="24"/>
        <v>10</v>
      </c>
    </row>
    <row r="294" spans="1:12" ht="15" customHeight="1" x14ac:dyDescent="0.35">
      <c r="A294" s="11">
        <v>292</v>
      </c>
      <c r="B294" s="8" t="str">
        <f>'Data Mentah'!D294</f>
        <v>Senior Business Development Manager</v>
      </c>
      <c r="C294" s="22">
        <f>'Data Mentah'!A294</f>
        <v>35</v>
      </c>
      <c r="D294" s="11" t="str">
        <f>'Data Mentah'!B294</f>
        <v>Male</v>
      </c>
      <c r="E294" s="11" t="str">
        <f>'Data Mentah'!C294</f>
        <v>Bachelor's</v>
      </c>
      <c r="F294" s="23">
        <f>'Data Mentah'!E294</f>
        <v>7</v>
      </c>
      <c r="G294" s="24">
        <f>'Data Mentah'!F294</f>
        <v>90000</v>
      </c>
      <c r="H294" s="25">
        <f t="shared" si="20"/>
        <v>4.5999999999999996</v>
      </c>
      <c r="I294" s="25">
        <f t="shared" si="21"/>
        <v>1</v>
      </c>
      <c r="J294" s="25">
        <f t="shared" si="22"/>
        <v>3.52</v>
      </c>
      <c r="K294" s="25">
        <f t="shared" si="23"/>
        <v>4.2319246945724007</v>
      </c>
      <c r="L294" s="25">
        <f t="shared" si="24"/>
        <v>1</v>
      </c>
    </row>
    <row r="295" spans="1:12" ht="15" customHeight="1" x14ac:dyDescent="0.35">
      <c r="A295" s="14">
        <v>293</v>
      </c>
      <c r="B295" s="17" t="str">
        <f>'Data Mentah'!D295</f>
        <v>Senior HR Manager</v>
      </c>
      <c r="C295" s="18">
        <f>'Data Mentah'!A295</f>
        <v>45</v>
      </c>
      <c r="D295" s="14" t="str">
        <f>'Data Mentah'!B295</f>
        <v>Female</v>
      </c>
      <c r="E295" s="14" t="str">
        <f>'Data Mentah'!C295</f>
        <v>Master's</v>
      </c>
      <c r="F295" s="19">
        <f>'Data Mentah'!E295</f>
        <v>14</v>
      </c>
      <c r="G295" s="20">
        <f>'Data Mentah'!F295</f>
        <v>140000</v>
      </c>
      <c r="H295" s="21">
        <f t="shared" si="20"/>
        <v>7.6</v>
      </c>
      <c r="I295" s="21">
        <f t="shared" si="21"/>
        <v>5.5</v>
      </c>
      <c r="J295" s="21">
        <f t="shared" si="22"/>
        <v>6.04</v>
      </c>
      <c r="K295" s="21">
        <f t="shared" si="23"/>
        <v>6.0344482275185261</v>
      </c>
      <c r="L295" s="21">
        <f t="shared" si="24"/>
        <v>10</v>
      </c>
    </row>
    <row r="296" spans="1:12" ht="15" customHeight="1" x14ac:dyDescent="0.35">
      <c r="A296" s="11">
        <v>294</v>
      </c>
      <c r="B296" s="8" t="str">
        <f>'Data Mentah'!D296</f>
        <v>Junior Financial Analyst</v>
      </c>
      <c r="C296" s="22">
        <f>'Data Mentah'!A296</f>
        <v>33</v>
      </c>
      <c r="D296" s="11" t="str">
        <f>'Data Mentah'!B296</f>
        <v>Male</v>
      </c>
      <c r="E296" s="11" t="str">
        <f>'Data Mentah'!C296</f>
        <v>Bachelor's</v>
      </c>
      <c r="F296" s="23">
        <f>'Data Mentah'!E296</f>
        <v>4</v>
      </c>
      <c r="G296" s="24">
        <f>'Data Mentah'!F296</f>
        <v>60000</v>
      </c>
      <c r="H296" s="25">
        <f t="shared" si="20"/>
        <v>4</v>
      </c>
      <c r="I296" s="25">
        <f t="shared" si="21"/>
        <v>1</v>
      </c>
      <c r="J296" s="25">
        <f t="shared" si="22"/>
        <v>2.44</v>
      </c>
      <c r="K296" s="25">
        <f t="shared" si="23"/>
        <v>3.1504105748047264</v>
      </c>
      <c r="L296" s="25">
        <f t="shared" si="24"/>
        <v>1</v>
      </c>
    </row>
    <row r="297" spans="1:12" ht="15" customHeight="1" x14ac:dyDescent="0.35">
      <c r="A297" s="14">
        <v>295</v>
      </c>
      <c r="B297" s="17" t="str">
        <f>'Data Mentah'!D297</f>
        <v>Senior Marketing Manager</v>
      </c>
      <c r="C297" s="18">
        <f>'Data Mentah'!A297</f>
        <v>40</v>
      </c>
      <c r="D297" s="14" t="str">
        <f>'Data Mentah'!B297</f>
        <v>Female</v>
      </c>
      <c r="E297" s="14" t="str">
        <f>'Data Mentah'!C297</f>
        <v>Bachelor's</v>
      </c>
      <c r="F297" s="19">
        <f>'Data Mentah'!E297</f>
        <v>12</v>
      </c>
      <c r="G297" s="20">
        <f>'Data Mentah'!F297</f>
        <v>130000</v>
      </c>
      <c r="H297" s="21">
        <f t="shared" si="20"/>
        <v>6.1</v>
      </c>
      <c r="I297" s="21">
        <f t="shared" si="21"/>
        <v>1</v>
      </c>
      <c r="J297" s="21">
        <f t="shared" si="22"/>
        <v>5.32</v>
      </c>
      <c r="K297" s="21">
        <f t="shared" si="23"/>
        <v>5.673943520929301</v>
      </c>
      <c r="L297" s="21">
        <f t="shared" si="24"/>
        <v>10</v>
      </c>
    </row>
    <row r="298" spans="1:12" ht="15" customHeight="1" x14ac:dyDescent="0.35">
      <c r="A298" s="11">
        <v>296</v>
      </c>
      <c r="B298" s="8" t="str">
        <f>'Data Mentah'!D298</f>
        <v>Senior Data Scientist</v>
      </c>
      <c r="C298" s="22">
        <f>'Data Mentah'!A298</f>
        <v>44</v>
      </c>
      <c r="D298" s="11" t="str">
        <f>'Data Mentah'!B298</f>
        <v>Male</v>
      </c>
      <c r="E298" s="11" t="str">
        <f>'Data Mentah'!C298</f>
        <v>PhD</v>
      </c>
      <c r="F298" s="23">
        <f>'Data Mentah'!E298</f>
        <v>16</v>
      </c>
      <c r="G298" s="24">
        <f>'Data Mentah'!F298</f>
        <v>160000</v>
      </c>
      <c r="H298" s="25">
        <f t="shared" si="20"/>
        <v>7.3</v>
      </c>
      <c r="I298" s="25">
        <f t="shared" si="21"/>
        <v>10</v>
      </c>
      <c r="J298" s="25">
        <f t="shared" si="22"/>
        <v>6.76</v>
      </c>
      <c r="K298" s="25">
        <f t="shared" si="23"/>
        <v>6.7554576406969762</v>
      </c>
      <c r="L298" s="25">
        <f t="shared" si="24"/>
        <v>1</v>
      </c>
    </row>
    <row r="299" spans="1:12" ht="15" customHeight="1" x14ac:dyDescent="0.35">
      <c r="A299" s="14">
        <v>297</v>
      </c>
      <c r="B299" s="17" t="str">
        <f>'Data Mentah'!D299</f>
        <v>Junior Operations Coordinator</v>
      </c>
      <c r="C299" s="18">
        <f>'Data Mentah'!A299</f>
        <v>30</v>
      </c>
      <c r="D299" s="14" t="str">
        <f>'Data Mentah'!B299</f>
        <v>Female</v>
      </c>
      <c r="E299" s="14" t="str">
        <f>'Data Mentah'!C299</f>
        <v>Bachelor's</v>
      </c>
      <c r="F299" s="19">
        <f>'Data Mentah'!E299</f>
        <v>2</v>
      </c>
      <c r="G299" s="20">
        <f>'Data Mentah'!F299</f>
        <v>40000</v>
      </c>
      <c r="H299" s="21">
        <f t="shared" si="20"/>
        <v>3.1</v>
      </c>
      <c r="I299" s="21">
        <f t="shared" si="21"/>
        <v>1</v>
      </c>
      <c r="J299" s="21">
        <f t="shared" si="22"/>
        <v>1.72</v>
      </c>
      <c r="K299" s="21">
        <f t="shared" si="23"/>
        <v>2.4294011616262767</v>
      </c>
      <c r="L299" s="21">
        <f t="shared" si="24"/>
        <v>10</v>
      </c>
    </row>
    <row r="300" spans="1:12" ht="15" customHeight="1" x14ac:dyDescent="0.35">
      <c r="A300" s="11">
        <v>298</v>
      </c>
      <c r="B300" s="8" t="str">
        <f>'Data Mentah'!D300</f>
        <v>Senior Marketing Analyst</v>
      </c>
      <c r="C300" s="22">
        <f>'Data Mentah'!A300</f>
        <v>37</v>
      </c>
      <c r="D300" s="11" t="str">
        <f>'Data Mentah'!B300</f>
        <v>Male</v>
      </c>
      <c r="E300" s="11" t="str">
        <f>'Data Mentah'!C300</f>
        <v>Bachelor's</v>
      </c>
      <c r="F300" s="23">
        <f>'Data Mentah'!E300</f>
        <v>9</v>
      </c>
      <c r="G300" s="24">
        <f>'Data Mentah'!F300</f>
        <v>100000</v>
      </c>
      <c r="H300" s="25">
        <f t="shared" si="20"/>
        <v>5.2</v>
      </c>
      <c r="I300" s="25">
        <f t="shared" si="21"/>
        <v>1</v>
      </c>
      <c r="J300" s="25">
        <f t="shared" si="22"/>
        <v>4.24</v>
      </c>
      <c r="K300" s="25">
        <f t="shared" si="23"/>
        <v>4.5924294011616258</v>
      </c>
      <c r="L300" s="25">
        <f t="shared" si="24"/>
        <v>1</v>
      </c>
    </row>
    <row r="301" spans="1:12" ht="15" customHeight="1" x14ac:dyDescent="0.35">
      <c r="A301" s="14">
        <v>299</v>
      </c>
      <c r="B301" s="17" t="str">
        <f>'Data Mentah'!D301</f>
        <v>Director of HR</v>
      </c>
      <c r="C301" s="18">
        <f>'Data Mentah'!A301</f>
        <v>48</v>
      </c>
      <c r="D301" s="14" t="str">
        <f>'Data Mentah'!B301</f>
        <v>Female</v>
      </c>
      <c r="E301" s="14" t="str">
        <f>'Data Mentah'!C301</f>
        <v>Master's</v>
      </c>
      <c r="F301" s="19">
        <f>'Data Mentah'!E301</f>
        <v>20</v>
      </c>
      <c r="G301" s="20">
        <f>'Data Mentah'!F301</f>
        <v>180000</v>
      </c>
      <c r="H301" s="21">
        <f t="shared" si="20"/>
        <v>8.5</v>
      </c>
      <c r="I301" s="21">
        <f t="shared" si="21"/>
        <v>5.5</v>
      </c>
      <c r="J301" s="21">
        <f t="shared" si="22"/>
        <v>8.1999999999999993</v>
      </c>
      <c r="K301" s="21">
        <f t="shared" si="23"/>
        <v>7.4764670538754254</v>
      </c>
      <c r="L301" s="21">
        <f t="shared" si="24"/>
        <v>10</v>
      </c>
    </row>
    <row r="302" spans="1:12" ht="15" customHeight="1" x14ac:dyDescent="0.35">
      <c r="A302" s="11">
        <v>300</v>
      </c>
      <c r="B302" s="8" t="str">
        <f>'Data Mentah'!D302</f>
        <v>Junior Project Manager</v>
      </c>
      <c r="C302" s="22">
        <f>'Data Mentah'!A302</f>
        <v>31</v>
      </c>
      <c r="D302" s="11" t="str">
        <f>'Data Mentah'!B302</f>
        <v>Male</v>
      </c>
      <c r="E302" s="11" t="str">
        <f>'Data Mentah'!C302</f>
        <v>Bachelor's</v>
      </c>
      <c r="F302" s="23">
        <f>'Data Mentah'!E302</f>
        <v>3</v>
      </c>
      <c r="G302" s="24">
        <f>'Data Mentah'!F302</f>
        <v>55000</v>
      </c>
      <c r="H302" s="25">
        <f t="shared" si="20"/>
        <v>3.4</v>
      </c>
      <c r="I302" s="25">
        <f t="shared" si="21"/>
        <v>1</v>
      </c>
      <c r="J302" s="25">
        <f t="shared" si="22"/>
        <v>2.08</v>
      </c>
      <c r="K302" s="25">
        <f t="shared" si="23"/>
        <v>2.9701582215101139</v>
      </c>
      <c r="L302" s="25">
        <f t="shared" si="24"/>
        <v>1</v>
      </c>
    </row>
    <row r="303" spans="1:12" ht="15" customHeight="1" x14ac:dyDescent="0.35">
      <c r="A303" s="14">
        <v>301</v>
      </c>
      <c r="B303" s="17" t="str">
        <f>'Data Mentah'!D303</f>
        <v>Senior Operations Coordinator</v>
      </c>
      <c r="C303" s="18">
        <f>'Data Mentah'!A303</f>
        <v>38</v>
      </c>
      <c r="D303" s="14" t="str">
        <f>'Data Mentah'!B303</f>
        <v>Female</v>
      </c>
      <c r="E303" s="14" t="str">
        <f>'Data Mentah'!C303</f>
        <v>Bachelor's</v>
      </c>
      <c r="F303" s="19">
        <f>'Data Mentah'!E303</f>
        <v>9</v>
      </c>
      <c r="G303" s="20">
        <f>'Data Mentah'!F303</f>
        <v>120000</v>
      </c>
      <c r="H303" s="21">
        <f t="shared" si="20"/>
        <v>5.5</v>
      </c>
      <c r="I303" s="21">
        <f t="shared" si="21"/>
        <v>1</v>
      </c>
      <c r="J303" s="21">
        <f t="shared" si="22"/>
        <v>4.24</v>
      </c>
      <c r="K303" s="21">
        <f t="shared" si="23"/>
        <v>5.3134388143400759</v>
      </c>
      <c r="L303" s="21">
        <f t="shared" si="24"/>
        <v>10</v>
      </c>
    </row>
    <row r="304" spans="1:12" ht="15" customHeight="1" x14ac:dyDescent="0.35">
      <c r="A304" s="11">
        <v>302</v>
      </c>
      <c r="B304" s="8" t="str">
        <f>'Data Mentah'!D304</f>
        <v>Senior Data Engineer</v>
      </c>
      <c r="C304" s="22">
        <f>'Data Mentah'!A304</f>
        <v>45</v>
      </c>
      <c r="D304" s="11" t="str">
        <f>'Data Mentah'!B304</f>
        <v>Male</v>
      </c>
      <c r="E304" s="11" t="str">
        <f>'Data Mentah'!C304</f>
        <v>PhD</v>
      </c>
      <c r="F304" s="23">
        <f>'Data Mentah'!E304</f>
        <v>16</v>
      </c>
      <c r="G304" s="24">
        <f>'Data Mentah'!F304</f>
        <v>150000</v>
      </c>
      <c r="H304" s="25">
        <f t="shared" si="20"/>
        <v>7.6</v>
      </c>
      <c r="I304" s="25">
        <f t="shared" si="21"/>
        <v>10</v>
      </c>
      <c r="J304" s="25">
        <f t="shared" si="22"/>
        <v>6.76</v>
      </c>
      <c r="K304" s="25">
        <f t="shared" si="23"/>
        <v>6.3949529341077511</v>
      </c>
      <c r="L304" s="25">
        <f t="shared" si="24"/>
        <v>1</v>
      </c>
    </row>
    <row r="305" spans="1:12" ht="15" customHeight="1" x14ac:dyDescent="0.35">
      <c r="A305" s="14">
        <v>303</v>
      </c>
      <c r="B305" s="17" t="str">
        <f>'Data Mentah'!D305</f>
        <v>Junior Marketing Manager</v>
      </c>
      <c r="C305" s="18">
        <f>'Data Mentah'!A305</f>
        <v>33</v>
      </c>
      <c r="D305" s="14" t="str">
        <f>'Data Mentah'!B305</f>
        <v>Female</v>
      </c>
      <c r="E305" s="14" t="str">
        <f>'Data Mentah'!C305</f>
        <v>Bachelor's</v>
      </c>
      <c r="F305" s="19">
        <f>'Data Mentah'!E305</f>
        <v>5</v>
      </c>
      <c r="G305" s="20">
        <f>'Data Mentah'!F305</f>
        <v>70000</v>
      </c>
      <c r="H305" s="21">
        <f t="shared" si="20"/>
        <v>4</v>
      </c>
      <c r="I305" s="21">
        <f t="shared" si="21"/>
        <v>1</v>
      </c>
      <c r="J305" s="21">
        <f t="shared" si="22"/>
        <v>2.8</v>
      </c>
      <c r="K305" s="21">
        <f t="shared" si="23"/>
        <v>3.5109152813939515</v>
      </c>
      <c r="L305" s="21">
        <f t="shared" si="24"/>
        <v>10</v>
      </c>
    </row>
    <row r="306" spans="1:12" ht="15" customHeight="1" x14ac:dyDescent="0.35">
      <c r="A306" s="11">
        <v>304</v>
      </c>
      <c r="B306" s="8" t="str">
        <f>'Data Mentah'!D306</f>
        <v>Senior Business Analyst</v>
      </c>
      <c r="C306" s="22">
        <f>'Data Mentah'!A306</f>
        <v>36</v>
      </c>
      <c r="D306" s="11" t="str">
        <f>'Data Mentah'!B306</f>
        <v>Male</v>
      </c>
      <c r="E306" s="11" t="str">
        <f>'Data Mentah'!C306</f>
        <v>Bachelor's</v>
      </c>
      <c r="F306" s="23">
        <f>'Data Mentah'!E306</f>
        <v>8</v>
      </c>
      <c r="G306" s="24">
        <f>'Data Mentah'!F306</f>
        <v>95000</v>
      </c>
      <c r="H306" s="25">
        <f t="shared" si="20"/>
        <v>4.9000000000000004</v>
      </c>
      <c r="I306" s="25">
        <f t="shared" si="21"/>
        <v>1</v>
      </c>
      <c r="J306" s="25">
        <f t="shared" si="22"/>
        <v>3.88</v>
      </c>
      <c r="K306" s="25">
        <f t="shared" si="23"/>
        <v>4.4121770478670133</v>
      </c>
      <c r="L306" s="25">
        <f t="shared" si="24"/>
        <v>1</v>
      </c>
    </row>
    <row r="307" spans="1:12" ht="15" customHeight="1" x14ac:dyDescent="0.35">
      <c r="A307" s="14">
        <v>305</v>
      </c>
      <c r="B307" s="17" t="str">
        <f>'Data Mentah'!D307</f>
        <v>Director of Marketing</v>
      </c>
      <c r="C307" s="18">
        <f>'Data Mentah'!A307</f>
        <v>49</v>
      </c>
      <c r="D307" s="14" t="str">
        <f>'Data Mentah'!B307</f>
        <v>Female</v>
      </c>
      <c r="E307" s="14" t="str">
        <f>'Data Mentah'!C307</f>
        <v>Master's</v>
      </c>
      <c r="F307" s="19">
        <f>'Data Mentah'!E307</f>
        <v>21</v>
      </c>
      <c r="G307" s="20">
        <f>'Data Mentah'!F307</f>
        <v>180000</v>
      </c>
      <c r="H307" s="21">
        <f t="shared" si="20"/>
        <v>8.8000000000000007</v>
      </c>
      <c r="I307" s="21">
        <f t="shared" si="21"/>
        <v>5.5</v>
      </c>
      <c r="J307" s="21">
        <f t="shared" si="22"/>
        <v>8.5599999999999987</v>
      </c>
      <c r="K307" s="21">
        <f t="shared" si="23"/>
        <v>7.4764670538754254</v>
      </c>
      <c r="L307" s="21">
        <f t="shared" si="24"/>
        <v>10</v>
      </c>
    </row>
    <row r="308" spans="1:12" ht="15" customHeight="1" x14ac:dyDescent="0.35">
      <c r="A308" s="11">
        <v>306</v>
      </c>
      <c r="B308" s="8" t="str">
        <f>'Data Mentah'!D308</f>
        <v>Junior Operations Analyst</v>
      </c>
      <c r="C308" s="22">
        <f>'Data Mentah'!A308</f>
        <v>31</v>
      </c>
      <c r="D308" s="11" t="str">
        <f>'Data Mentah'!B308</f>
        <v>Male</v>
      </c>
      <c r="E308" s="11" t="str">
        <f>'Data Mentah'!C308</f>
        <v>Bachelor's</v>
      </c>
      <c r="F308" s="23">
        <f>'Data Mentah'!E308</f>
        <v>3</v>
      </c>
      <c r="G308" s="24">
        <f>'Data Mentah'!F308</f>
        <v>50000</v>
      </c>
      <c r="H308" s="25">
        <f t="shared" si="20"/>
        <v>3.4</v>
      </c>
      <c r="I308" s="25">
        <f t="shared" si="21"/>
        <v>1</v>
      </c>
      <c r="J308" s="25">
        <f t="shared" si="22"/>
        <v>2.08</v>
      </c>
      <c r="K308" s="25">
        <f t="shared" si="23"/>
        <v>2.7899058682155018</v>
      </c>
      <c r="L308" s="25">
        <f t="shared" si="24"/>
        <v>1</v>
      </c>
    </row>
    <row r="309" spans="1:12" ht="15" customHeight="1" x14ac:dyDescent="0.35">
      <c r="A309" s="14">
        <v>307</v>
      </c>
      <c r="B309" s="17" t="str">
        <f>'Data Mentah'!D309</f>
        <v>Senior Project Manager</v>
      </c>
      <c r="C309" s="18">
        <f>'Data Mentah'!A309</f>
        <v>42</v>
      </c>
      <c r="D309" s="14" t="str">
        <f>'Data Mentah'!B309</f>
        <v>Female</v>
      </c>
      <c r="E309" s="14" t="str">
        <f>'Data Mentah'!C309</f>
        <v>Bachelor's</v>
      </c>
      <c r="F309" s="19">
        <f>'Data Mentah'!E309</f>
        <v>12</v>
      </c>
      <c r="G309" s="20">
        <f>'Data Mentah'!F309</f>
        <v>120000</v>
      </c>
      <c r="H309" s="21">
        <f t="shared" si="20"/>
        <v>6.7</v>
      </c>
      <c r="I309" s="21">
        <f t="shared" si="21"/>
        <v>1</v>
      </c>
      <c r="J309" s="21">
        <f t="shared" si="22"/>
        <v>5.32</v>
      </c>
      <c r="K309" s="21">
        <f t="shared" si="23"/>
        <v>5.3134388143400759</v>
      </c>
      <c r="L309" s="21">
        <f t="shared" si="24"/>
        <v>10</v>
      </c>
    </row>
    <row r="310" spans="1:12" ht="15" customHeight="1" x14ac:dyDescent="0.35">
      <c r="A310" s="11">
        <v>308</v>
      </c>
      <c r="B310" s="8" t="str">
        <f>'Data Mentah'!D310</f>
        <v>Director of Marketing</v>
      </c>
      <c r="C310" s="22">
        <f>'Data Mentah'!A310</f>
        <v>47</v>
      </c>
      <c r="D310" s="11" t="str">
        <f>'Data Mentah'!B310</f>
        <v>Male</v>
      </c>
      <c r="E310" s="11" t="str">
        <f>'Data Mentah'!C310</f>
        <v>Master's</v>
      </c>
      <c r="F310" s="23">
        <f>'Data Mentah'!E310</f>
        <v>19</v>
      </c>
      <c r="G310" s="24">
        <f>'Data Mentah'!F310</f>
        <v>170000</v>
      </c>
      <c r="H310" s="25">
        <f t="shared" si="20"/>
        <v>8.1999999999999993</v>
      </c>
      <c r="I310" s="25">
        <f t="shared" si="21"/>
        <v>5.5</v>
      </c>
      <c r="J310" s="25">
        <f t="shared" si="22"/>
        <v>7.84</v>
      </c>
      <c r="K310" s="25">
        <f t="shared" si="23"/>
        <v>7.1159623472862004</v>
      </c>
      <c r="L310" s="25">
        <f t="shared" si="24"/>
        <v>1</v>
      </c>
    </row>
    <row r="311" spans="1:12" ht="15" customHeight="1" x14ac:dyDescent="0.35">
      <c r="A311" s="14">
        <v>309</v>
      </c>
      <c r="B311" s="17" t="str">
        <f>'Data Mentah'!D311</f>
        <v>Junior Business Development Associate</v>
      </c>
      <c r="C311" s="18">
        <f>'Data Mentah'!A311</f>
        <v>29</v>
      </c>
      <c r="D311" s="14" t="str">
        <f>'Data Mentah'!B311</f>
        <v>Female</v>
      </c>
      <c r="E311" s="14" t="str">
        <f>'Data Mentah'!C311</f>
        <v>Bachelor's</v>
      </c>
      <c r="F311" s="19">
        <f>'Data Mentah'!E311</f>
        <v>1.5</v>
      </c>
      <c r="G311" s="20">
        <f>'Data Mentah'!F311</f>
        <v>35000</v>
      </c>
      <c r="H311" s="21">
        <f t="shared" si="20"/>
        <v>2.8</v>
      </c>
      <c r="I311" s="21">
        <f t="shared" si="21"/>
        <v>1</v>
      </c>
      <c r="J311" s="21">
        <f t="shared" si="22"/>
        <v>1.54</v>
      </c>
      <c r="K311" s="21">
        <f t="shared" si="23"/>
        <v>2.2491488083316646</v>
      </c>
      <c r="L311" s="21">
        <f t="shared" si="24"/>
        <v>10</v>
      </c>
    </row>
    <row r="312" spans="1:12" ht="15" customHeight="1" x14ac:dyDescent="0.35">
      <c r="A312" s="11">
        <v>310</v>
      </c>
      <c r="B312" s="8" t="str">
        <f>'Data Mentah'!D312</f>
        <v>Senior Financial Manager</v>
      </c>
      <c r="C312" s="22">
        <f>'Data Mentah'!A312</f>
        <v>35</v>
      </c>
      <c r="D312" s="11" t="str">
        <f>'Data Mentah'!B312</f>
        <v>Male</v>
      </c>
      <c r="E312" s="11" t="str">
        <f>'Data Mentah'!C312</f>
        <v>Bachelor's</v>
      </c>
      <c r="F312" s="23">
        <f>'Data Mentah'!E312</f>
        <v>9</v>
      </c>
      <c r="G312" s="24">
        <f>'Data Mentah'!F312</f>
        <v>100000</v>
      </c>
      <c r="H312" s="25">
        <f t="shared" si="20"/>
        <v>4.5999999999999996</v>
      </c>
      <c r="I312" s="25">
        <f t="shared" si="21"/>
        <v>1</v>
      </c>
      <c r="J312" s="25">
        <f t="shared" si="22"/>
        <v>4.24</v>
      </c>
      <c r="K312" s="25">
        <f t="shared" si="23"/>
        <v>4.5924294011616258</v>
      </c>
      <c r="L312" s="25">
        <f t="shared" si="24"/>
        <v>1</v>
      </c>
    </row>
    <row r="313" spans="1:12" ht="15" customHeight="1" x14ac:dyDescent="0.35">
      <c r="A313" s="14">
        <v>311</v>
      </c>
      <c r="B313" s="17" t="str">
        <f>'Data Mentah'!D313</f>
        <v>Senior Product Designer</v>
      </c>
      <c r="C313" s="18">
        <f>'Data Mentah'!A313</f>
        <v>44</v>
      </c>
      <c r="D313" s="14" t="str">
        <f>'Data Mentah'!B313</f>
        <v>Female</v>
      </c>
      <c r="E313" s="14" t="str">
        <f>'Data Mentah'!C313</f>
        <v>PhD</v>
      </c>
      <c r="F313" s="19">
        <f>'Data Mentah'!E313</f>
        <v>15</v>
      </c>
      <c r="G313" s="20">
        <f>'Data Mentah'!F313</f>
        <v>150000</v>
      </c>
      <c r="H313" s="21">
        <f t="shared" si="20"/>
        <v>7.3</v>
      </c>
      <c r="I313" s="21">
        <f t="shared" si="21"/>
        <v>10</v>
      </c>
      <c r="J313" s="21">
        <f t="shared" si="22"/>
        <v>6.4</v>
      </c>
      <c r="K313" s="21">
        <f t="shared" si="23"/>
        <v>6.3949529341077511</v>
      </c>
      <c r="L313" s="21">
        <f t="shared" si="24"/>
        <v>10</v>
      </c>
    </row>
    <row r="314" spans="1:12" ht="15" customHeight="1" x14ac:dyDescent="0.35">
      <c r="A314" s="11">
        <v>312</v>
      </c>
      <c r="B314" s="8" t="str">
        <f>'Data Mentah'!D314</f>
        <v>Junior Business Analyst</v>
      </c>
      <c r="C314" s="22">
        <f>'Data Mentah'!A314</f>
        <v>33</v>
      </c>
      <c r="D314" s="11" t="str">
        <f>'Data Mentah'!B314</f>
        <v>Male</v>
      </c>
      <c r="E314" s="11" t="str">
        <f>'Data Mentah'!C314</f>
        <v>Bachelor's</v>
      </c>
      <c r="F314" s="23">
        <f>'Data Mentah'!E314</f>
        <v>4</v>
      </c>
      <c r="G314" s="24">
        <f>'Data Mentah'!F314</f>
        <v>60000</v>
      </c>
      <c r="H314" s="25">
        <f t="shared" si="20"/>
        <v>4</v>
      </c>
      <c r="I314" s="25">
        <f t="shared" si="21"/>
        <v>1</v>
      </c>
      <c r="J314" s="25">
        <f t="shared" si="22"/>
        <v>2.44</v>
      </c>
      <c r="K314" s="25">
        <f t="shared" si="23"/>
        <v>3.1504105748047264</v>
      </c>
      <c r="L314" s="25">
        <f t="shared" si="24"/>
        <v>1</v>
      </c>
    </row>
    <row r="315" spans="1:12" ht="15" customHeight="1" x14ac:dyDescent="0.35">
      <c r="A315" s="14">
        <v>313</v>
      </c>
      <c r="B315" s="17" t="str">
        <f>'Data Mentah'!D315</f>
        <v>Senior Marketing Analyst</v>
      </c>
      <c r="C315" s="18">
        <f>'Data Mentah'!A315</f>
        <v>35</v>
      </c>
      <c r="D315" s="14" t="str">
        <f>'Data Mentah'!B315</f>
        <v>Female</v>
      </c>
      <c r="E315" s="14" t="str">
        <f>'Data Mentah'!C315</f>
        <v>Bachelor's</v>
      </c>
      <c r="F315" s="19">
        <f>'Data Mentah'!E315</f>
        <v>8</v>
      </c>
      <c r="G315" s="20">
        <f>'Data Mentah'!F315</f>
        <v>85000</v>
      </c>
      <c r="H315" s="21">
        <f t="shared" si="20"/>
        <v>4.5999999999999996</v>
      </c>
      <c r="I315" s="21">
        <f t="shared" si="21"/>
        <v>1</v>
      </c>
      <c r="J315" s="21">
        <f t="shared" si="22"/>
        <v>3.88</v>
      </c>
      <c r="K315" s="21">
        <f t="shared" si="23"/>
        <v>4.0516723412777891</v>
      </c>
      <c r="L315" s="21">
        <f t="shared" si="24"/>
        <v>10</v>
      </c>
    </row>
    <row r="316" spans="1:12" ht="15" customHeight="1" x14ac:dyDescent="0.35">
      <c r="A316" s="11">
        <v>314</v>
      </c>
      <c r="B316" s="8" t="str">
        <f>'Data Mentah'!D316</f>
        <v>Senior Software Engineer</v>
      </c>
      <c r="C316" s="22">
        <f>'Data Mentah'!A316</f>
        <v>44</v>
      </c>
      <c r="D316" s="11" t="str">
        <f>'Data Mentah'!B316</f>
        <v>Male</v>
      </c>
      <c r="E316" s="11" t="str">
        <f>'Data Mentah'!C316</f>
        <v>Bachelor's</v>
      </c>
      <c r="F316" s="23">
        <f>'Data Mentah'!E316</f>
        <v>13</v>
      </c>
      <c r="G316" s="24">
        <f>'Data Mentah'!F316</f>
        <v>130000</v>
      </c>
      <c r="H316" s="25">
        <f t="shared" si="20"/>
        <v>7.3</v>
      </c>
      <c r="I316" s="25">
        <f t="shared" si="21"/>
        <v>1</v>
      </c>
      <c r="J316" s="25">
        <f t="shared" si="22"/>
        <v>5.68</v>
      </c>
      <c r="K316" s="25">
        <f t="shared" si="23"/>
        <v>5.673943520929301</v>
      </c>
      <c r="L316" s="25">
        <f t="shared" si="24"/>
        <v>1</v>
      </c>
    </row>
    <row r="317" spans="1:12" ht="15" customHeight="1" x14ac:dyDescent="0.35">
      <c r="A317" s="14">
        <v>315</v>
      </c>
      <c r="B317" s="17" t="str">
        <f>'Data Mentah'!D317</f>
        <v>Senior Financial Advisor</v>
      </c>
      <c r="C317" s="18">
        <f>'Data Mentah'!A317</f>
        <v>34</v>
      </c>
      <c r="D317" s="14" t="str">
        <f>'Data Mentah'!B317</f>
        <v>Female</v>
      </c>
      <c r="E317" s="14" t="str">
        <f>'Data Mentah'!C317</f>
        <v>Master's</v>
      </c>
      <c r="F317" s="19">
        <f>'Data Mentah'!E317</f>
        <v>6</v>
      </c>
      <c r="G317" s="20">
        <f>'Data Mentah'!F317</f>
        <v>80000</v>
      </c>
      <c r="H317" s="21">
        <f t="shared" si="20"/>
        <v>4.3</v>
      </c>
      <c r="I317" s="21">
        <f t="shared" si="21"/>
        <v>5.5</v>
      </c>
      <c r="J317" s="21">
        <f t="shared" si="22"/>
        <v>3.16</v>
      </c>
      <c r="K317" s="21">
        <f t="shared" si="23"/>
        <v>3.8714199879831765</v>
      </c>
      <c r="L317" s="21">
        <f t="shared" si="24"/>
        <v>10</v>
      </c>
    </row>
    <row r="318" spans="1:12" ht="15" customHeight="1" x14ac:dyDescent="0.35">
      <c r="A318" s="11">
        <v>316</v>
      </c>
      <c r="B318" s="8" t="str">
        <f>'Data Mentah'!D318</f>
        <v>Senior Marketing Specialist</v>
      </c>
      <c r="C318" s="22">
        <f>'Data Mentah'!A318</f>
        <v>36</v>
      </c>
      <c r="D318" s="11" t="str">
        <f>'Data Mentah'!B318</f>
        <v>Male</v>
      </c>
      <c r="E318" s="11" t="str">
        <f>'Data Mentah'!C318</f>
        <v>Bachelor's</v>
      </c>
      <c r="F318" s="23">
        <f>'Data Mentah'!E318</f>
        <v>8</v>
      </c>
      <c r="G318" s="24">
        <f>'Data Mentah'!F318</f>
        <v>95000</v>
      </c>
      <c r="H318" s="25">
        <f t="shared" si="20"/>
        <v>4.9000000000000004</v>
      </c>
      <c r="I318" s="25">
        <f t="shared" si="21"/>
        <v>1</v>
      </c>
      <c r="J318" s="25">
        <f t="shared" si="22"/>
        <v>3.88</v>
      </c>
      <c r="K318" s="25">
        <f t="shared" si="23"/>
        <v>4.4121770478670133</v>
      </c>
      <c r="L318" s="25">
        <f t="shared" si="24"/>
        <v>1</v>
      </c>
    </row>
    <row r="319" spans="1:12" ht="15" customHeight="1" x14ac:dyDescent="0.35">
      <c r="A319" s="14">
        <v>317</v>
      </c>
      <c r="B319" s="17" t="str">
        <f>'Data Mentah'!D319</f>
        <v>Junior HR Coordinator</v>
      </c>
      <c r="C319" s="18">
        <f>'Data Mentah'!A319</f>
        <v>30</v>
      </c>
      <c r="D319" s="14" t="str">
        <f>'Data Mentah'!B319</f>
        <v>Female</v>
      </c>
      <c r="E319" s="14" t="str">
        <f>'Data Mentah'!C319</f>
        <v>Bachelor's</v>
      </c>
      <c r="F319" s="19">
        <f>'Data Mentah'!E319</f>
        <v>2</v>
      </c>
      <c r="G319" s="20">
        <f>'Data Mentah'!F319</f>
        <v>40000</v>
      </c>
      <c r="H319" s="21">
        <f t="shared" si="20"/>
        <v>3.1</v>
      </c>
      <c r="I319" s="21">
        <f t="shared" si="21"/>
        <v>1</v>
      </c>
      <c r="J319" s="21">
        <f t="shared" si="22"/>
        <v>1.72</v>
      </c>
      <c r="K319" s="21">
        <f t="shared" si="23"/>
        <v>2.4294011616262767</v>
      </c>
      <c r="L319" s="21">
        <f t="shared" si="24"/>
        <v>10</v>
      </c>
    </row>
    <row r="320" spans="1:12" ht="15" customHeight="1" x14ac:dyDescent="0.35">
      <c r="A320" s="11">
        <v>318</v>
      </c>
      <c r="B320" s="8" t="str">
        <f>'Data Mentah'!D320</f>
        <v>Senior Business Development Manager</v>
      </c>
      <c r="C320" s="22">
        <f>'Data Mentah'!A320</f>
        <v>37</v>
      </c>
      <c r="D320" s="11" t="str">
        <f>'Data Mentah'!B320</f>
        <v>Male</v>
      </c>
      <c r="E320" s="11" t="str">
        <f>'Data Mentah'!C320</f>
        <v>Bachelor's</v>
      </c>
      <c r="F320" s="23">
        <f>'Data Mentah'!E320</f>
        <v>10</v>
      </c>
      <c r="G320" s="24">
        <f>'Data Mentah'!F320</f>
        <v>120000</v>
      </c>
      <c r="H320" s="25">
        <f t="shared" si="20"/>
        <v>5.2</v>
      </c>
      <c r="I320" s="25">
        <f t="shared" si="21"/>
        <v>1</v>
      </c>
      <c r="J320" s="25">
        <f t="shared" si="22"/>
        <v>4.5999999999999996</v>
      </c>
      <c r="K320" s="25">
        <f t="shared" si="23"/>
        <v>5.3134388143400759</v>
      </c>
      <c r="L320" s="25">
        <f t="shared" si="24"/>
        <v>1</v>
      </c>
    </row>
    <row r="321" spans="1:12" ht="15" customHeight="1" x14ac:dyDescent="0.35">
      <c r="A321" s="14">
        <v>319</v>
      </c>
      <c r="B321" s="17" t="str">
        <f>'Data Mentah'!D321</f>
        <v>Senior Marketing Manager</v>
      </c>
      <c r="C321" s="18">
        <f>'Data Mentah'!A321</f>
        <v>45</v>
      </c>
      <c r="D321" s="14" t="str">
        <f>'Data Mentah'!B321</f>
        <v>Female</v>
      </c>
      <c r="E321" s="14" t="str">
        <f>'Data Mentah'!C321</f>
        <v>Master's</v>
      </c>
      <c r="F321" s="19">
        <f>'Data Mentah'!E321</f>
        <v>16</v>
      </c>
      <c r="G321" s="20">
        <f>'Data Mentah'!F321</f>
        <v>160000</v>
      </c>
      <c r="H321" s="21">
        <f t="shared" si="20"/>
        <v>7.6</v>
      </c>
      <c r="I321" s="21">
        <f t="shared" si="21"/>
        <v>5.5</v>
      </c>
      <c r="J321" s="21">
        <f t="shared" si="22"/>
        <v>6.76</v>
      </c>
      <c r="K321" s="21">
        <f t="shared" si="23"/>
        <v>6.7554576406969762</v>
      </c>
      <c r="L321" s="21">
        <f t="shared" si="24"/>
        <v>10</v>
      </c>
    </row>
    <row r="322" spans="1:12" ht="15" customHeight="1" x14ac:dyDescent="0.35">
      <c r="A322" s="11">
        <v>320</v>
      </c>
      <c r="B322" s="8" t="str">
        <f>'Data Mentah'!D322</f>
        <v>Junior Financial Advisor</v>
      </c>
      <c r="C322" s="22">
        <f>'Data Mentah'!A322</f>
        <v>32</v>
      </c>
      <c r="D322" s="11" t="str">
        <f>'Data Mentah'!B322</f>
        <v>Male</v>
      </c>
      <c r="E322" s="11" t="str">
        <f>'Data Mentah'!C322</f>
        <v>Bachelor's</v>
      </c>
      <c r="F322" s="23">
        <f>'Data Mentah'!E322</f>
        <v>4</v>
      </c>
      <c r="G322" s="24">
        <f>'Data Mentah'!F322</f>
        <v>65000</v>
      </c>
      <c r="H322" s="25">
        <f t="shared" si="20"/>
        <v>3.7</v>
      </c>
      <c r="I322" s="25">
        <f t="shared" si="21"/>
        <v>1</v>
      </c>
      <c r="J322" s="25">
        <f t="shared" si="22"/>
        <v>2.44</v>
      </c>
      <c r="K322" s="25">
        <f t="shared" si="23"/>
        <v>3.3306629280993389</v>
      </c>
      <c r="L322" s="25">
        <f t="shared" si="24"/>
        <v>1</v>
      </c>
    </row>
    <row r="323" spans="1:12" ht="15" customHeight="1" x14ac:dyDescent="0.35">
      <c r="A323" s="14">
        <v>321</v>
      </c>
      <c r="B323" s="17" t="str">
        <f>'Data Mentah'!D323</f>
        <v>Senior Project Manager</v>
      </c>
      <c r="C323" s="18">
        <f>'Data Mentah'!A323</f>
        <v>39</v>
      </c>
      <c r="D323" s="14" t="str">
        <f>'Data Mentah'!B323</f>
        <v>Female</v>
      </c>
      <c r="E323" s="14" t="str">
        <f>'Data Mentah'!C323</f>
        <v>Bachelor's</v>
      </c>
      <c r="F323" s="19">
        <f>'Data Mentah'!E323</f>
        <v>12</v>
      </c>
      <c r="G323" s="20">
        <f>'Data Mentah'!F323</f>
        <v>130000</v>
      </c>
      <c r="H323" s="21">
        <f t="shared" ref="H323:H375" si="25">IF(MAX($C$3:$C$375)=MIN($C$3:$C$375),5,1+9*(C323-MIN($C$3:$C$375))/(MAX($C$3:$C$375)-MIN($C$3:$C$375)))</f>
        <v>5.8</v>
      </c>
      <c r="I323" s="21">
        <f t="shared" ref="I323:I375" si="26">1+9*(IF(E323="PhD",3,IF(E323="Master's",2,1))-1)/(3-1)</f>
        <v>1</v>
      </c>
      <c r="J323" s="21">
        <f t="shared" ref="J323:J375" si="27">IF(MAX($F$3:$F$375)=MIN($F$3:$F$375),5,1+9*(F323-MIN($F$3:$F$375))/(MAX($F$3:$F$375)-MIN($F$3:$F$375)))</f>
        <v>5.32</v>
      </c>
      <c r="K323" s="21">
        <f t="shared" ref="K323:K375" si="28">IF(MAX($G$3:$G$375)=MIN($G$3:$G$375),5,1+9*(G323-MIN($G$3:$G$375))/(MAX($G$3:$G$375)-MIN($G$3:$G$375)))</f>
        <v>5.673943520929301</v>
      </c>
      <c r="L323" s="21">
        <f t="shared" ref="L323:L375" si="29">1+9*(IF(D323="Female",2,IF(D323="Male",1,1.5))-1)/(2-1)</f>
        <v>10</v>
      </c>
    </row>
    <row r="324" spans="1:12" ht="15" customHeight="1" x14ac:dyDescent="0.35">
      <c r="A324" s="11">
        <v>322</v>
      </c>
      <c r="B324" s="8" t="str">
        <f>'Data Mentah'!D324</f>
        <v>Director of Engineering</v>
      </c>
      <c r="C324" s="22">
        <f>'Data Mentah'!A324</f>
        <v>47</v>
      </c>
      <c r="D324" s="11" t="str">
        <f>'Data Mentah'!B324</f>
        <v>Male</v>
      </c>
      <c r="E324" s="11" t="str">
        <f>'Data Mentah'!C324</f>
        <v>PhD</v>
      </c>
      <c r="F324" s="23">
        <f>'Data Mentah'!E324</f>
        <v>20</v>
      </c>
      <c r="G324" s="24">
        <f>'Data Mentah'!F324</f>
        <v>180000</v>
      </c>
      <c r="H324" s="25">
        <f t="shared" si="25"/>
        <v>8.1999999999999993</v>
      </c>
      <c r="I324" s="25">
        <f t="shared" si="26"/>
        <v>10</v>
      </c>
      <c r="J324" s="25">
        <f t="shared" si="27"/>
        <v>8.1999999999999993</v>
      </c>
      <c r="K324" s="25">
        <f t="shared" si="28"/>
        <v>7.4764670538754254</v>
      </c>
      <c r="L324" s="25">
        <f t="shared" si="29"/>
        <v>1</v>
      </c>
    </row>
    <row r="325" spans="1:12" ht="15" customHeight="1" x14ac:dyDescent="0.35">
      <c r="A325" s="14">
        <v>323</v>
      </c>
      <c r="B325" s="17" t="str">
        <f>'Data Mentah'!D325</f>
        <v>Junior Marketing Analyst</v>
      </c>
      <c r="C325" s="18">
        <f>'Data Mentah'!A325</f>
        <v>29</v>
      </c>
      <c r="D325" s="14" t="str">
        <f>'Data Mentah'!B325</f>
        <v>Female</v>
      </c>
      <c r="E325" s="14" t="str">
        <f>'Data Mentah'!C325</f>
        <v>Bachelor's</v>
      </c>
      <c r="F325" s="19">
        <f>'Data Mentah'!E325</f>
        <v>2</v>
      </c>
      <c r="G325" s="20">
        <f>'Data Mentah'!F325</f>
        <v>40000</v>
      </c>
      <c r="H325" s="21">
        <f t="shared" si="25"/>
        <v>2.8</v>
      </c>
      <c r="I325" s="21">
        <f t="shared" si="26"/>
        <v>1</v>
      </c>
      <c r="J325" s="21">
        <f t="shared" si="27"/>
        <v>1.72</v>
      </c>
      <c r="K325" s="21">
        <f t="shared" si="28"/>
        <v>2.4294011616262767</v>
      </c>
      <c r="L325" s="21">
        <f t="shared" si="29"/>
        <v>10</v>
      </c>
    </row>
    <row r="326" spans="1:12" ht="15" customHeight="1" x14ac:dyDescent="0.35">
      <c r="A326" s="11">
        <v>324</v>
      </c>
      <c r="B326" s="8" t="str">
        <f>'Data Mentah'!D326</f>
        <v>Senior Operations Manager</v>
      </c>
      <c r="C326" s="22">
        <f>'Data Mentah'!A326</f>
        <v>36</v>
      </c>
      <c r="D326" s="11" t="str">
        <f>'Data Mentah'!B326</f>
        <v>Male</v>
      </c>
      <c r="E326" s="11" t="str">
        <f>'Data Mentah'!C326</f>
        <v>Bachelor's</v>
      </c>
      <c r="F326" s="23">
        <f>'Data Mentah'!E326</f>
        <v>9</v>
      </c>
      <c r="G326" s="24">
        <f>'Data Mentah'!F326</f>
        <v>100000</v>
      </c>
      <c r="H326" s="25">
        <f t="shared" si="25"/>
        <v>4.9000000000000004</v>
      </c>
      <c r="I326" s="25">
        <f t="shared" si="26"/>
        <v>1</v>
      </c>
      <c r="J326" s="25">
        <f t="shared" si="27"/>
        <v>4.24</v>
      </c>
      <c r="K326" s="25">
        <f t="shared" si="28"/>
        <v>4.5924294011616258</v>
      </c>
      <c r="L326" s="25">
        <f t="shared" si="29"/>
        <v>1</v>
      </c>
    </row>
    <row r="327" spans="1:12" ht="15" customHeight="1" x14ac:dyDescent="0.35">
      <c r="A327" s="14">
        <v>325</v>
      </c>
      <c r="B327" s="17" t="str">
        <f>'Data Mentah'!D327</f>
        <v>Senior Data Scientist</v>
      </c>
      <c r="C327" s="18">
        <f>'Data Mentah'!A327</f>
        <v>43</v>
      </c>
      <c r="D327" s="14" t="str">
        <f>'Data Mentah'!B327</f>
        <v>Female</v>
      </c>
      <c r="E327" s="14" t="str">
        <f>'Data Mentah'!C327</f>
        <v>PhD</v>
      </c>
      <c r="F327" s="19">
        <f>'Data Mentah'!E327</f>
        <v>15</v>
      </c>
      <c r="G327" s="20">
        <f>'Data Mentah'!F327</f>
        <v>150000</v>
      </c>
      <c r="H327" s="21">
        <f t="shared" si="25"/>
        <v>7</v>
      </c>
      <c r="I327" s="21">
        <f t="shared" si="26"/>
        <v>10</v>
      </c>
      <c r="J327" s="21">
        <f t="shared" si="27"/>
        <v>6.4</v>
      </c>
      <c r="K327" s="21">
        <f t="shared" si="28"/>
        <v>6.3949529341077511</v>
      </c>
      <c r="L327" s="21">
        <f t="shared" si="29"/>
        <v>10</v>
      </c>
    </row>
    <row r="328" spans="1:12" ht="15" customHeight="1" x14ac:dyDescent="0.35">
      <c r="A328" s="11">
        <v>326</v>
      </c>
      <c r="B328" s="8" t="str">
        <f>'Data Mentah'!D328</f>
        <v>Junior Marketing Coordinator</v>
      </c>
      <c r="C328" s="22">
        <f>'Data Mentah'!A328</f>
        <v>32</v>
      </c>
      <c r="D328" s="11" t="str">
        <f>'Data Mentah'!B328</f>
        <v>Male</v>
      </c>
      <c r="E328" s="11" t="str">
        <f>'Data Mentah'!C328</f>
        <v>Bachelor's</v>
      </c>
      <c r="F328" s="23">
        <f>'Data Mentah'!E328</f>
        <v>3</v>
      </c>
      <c r="G328" s="24">
        <f>'Data Mentah'!F328</f>
        <v>55000</v>
      </c>
      <c r="H328" s="25">
        <f t="shared" si="25"/>
        <v>3.7</v>
      </c>
      <c r="I328" s="25">
        <f t="shared" si="26"/>
        <v>1</v>
      </c>
      <c r="J328" s="25">
        <f t="shared" si="27"/>
        <v>2.08</v>
      </c>
      <c r="K328" s="25">
        <f t="shared" si="28"/>
        <v>2.9701582215101139</v>
      </c>
      <c r="L328" s="25">
        <f t="shared" si="29"/>
        <v>1</v>
      </c>
    </row>
    <row r="329" spans="1:12" ht="15" customHeight="1" x14ac:dyDescent="0.35">
      <c r="A329" s="14">
        <v>327</v>
      </c>
      <c r="B329" s="17" t="str">
        <f>'Data Mentah'!D329</f>
        <v>Senior Business Analyst</v>
      </c>
      <c r="C329" s="18">
        <f>'Data Mentah'!A329</f>
        <v>38</v>
      </c>
      <c r="D329" s="14" t="str">
        <f>'Data Mentah'!B329</f>
        <v>Female</v>
      </c>
      <c r="E329" s="14" t="str">
        <f>'Data Mentah'!C329</f>
        <v>Bachelor's</v>
      </c>
      <c r="F329" s="19">
        <f>'Data Mentah'!E329</f>
        <v>10</v>
      </c>
      <c r="G329" s="20">
        <f>'Data Mentah'!F329</f>
        <v>110000</v>
      </c>
      <c r="H329" s="21">
        <f t="shared" si="25"/>
        <v>5.5</v>
      </c>
      <c r="I329" s="21">
        <f t="shared" si="26"/>
        <v>1</v>
      </c>
      <c r="J329" s="21">
        <f t="shared" si="27"/>
        <v>4.5999999999999996</v>
      </c>
      <c r="K329" s="21">
        <f t="shared" si="28"/>
        <v>4.9529341077508509</v>
      </c>
      <c r="L329" s="21">
        <f t="shared" si="29"/>
        <v>10</v>
      </c>
    </row>
    <row r="330" spans="1:12" ht="15" customHeight="1" x14ac:dyDescent="0.35">
      <c r="A330" s="11">
        <v>328</v>
      </c>
      <c r="B330" s="8" t="str">
        <f>'Data Mentah'!D330</f>
        <v>Director of Marketing</v>
      </c>
      <c r="C330" s="22">
        <f>'Data Mentah'!A330</f>
        <v>48</v>
      </c>
      <c r="D330" s="11" t="str">
        <f>'Data Mentah'!B330</f>
        <v>Male</v>
      </c>
      <c r="E330" s="11" t="str">
        <f>'Data Mentah'!C330</f>
        <v>Master's</v>
      </c>
      <c r="F330" s="23">
        <f>'Data Mentah'!E330</f>
        <v>21</v>
      </c>
      <c r="G330" s="24">
        <f>'Data Mentah'!F330</f>
        <v>180000</v>
      </c>
      <c r="H330" s="25">
        <f t="shared" si="25"/>
        <v>8.5</v>
      </c>
      <c r="I330" s="25">
        <f t="shared" si="26"/>
        <v>5.5</v>
      </c>
      <c r="J330" s="25">
        <f t="shared" si="27"/>
        <v>8.5599999999999987</v>
      </c>
      <c r="K330" s="25">
        <f t="shared" si="28"/>
        <v>7.4764670538754254</v>
      </c>
      <c r="L330" s="25">
        <f t="shared" si="29"/>
        <v>1</v>
      </c>
    </row>
    <row r="331" spans="1:12" ht="15" customHeight="1" x14ac:dyDescent="0.35">
      <c r="A331" s="14">
        <v>329</v>
      </c>
      <c r="B331" s="17" t="str">
        <f>'Data Mentah'!D331</f>
        <v>Junior Business Development Associate</v>
      </c>
      <c r="C331" s="18">
        <f>'Data Mentah'!A331</f>
        <v>31</v>
      </c>
      <c r="D331" s="14" t="str">
        <f>'Data Mentah'!B331</f>
        <v>Female</v>
      </c>
      <c r="E331" s="14" t="str">
        <f>'Data Mentah'!C331</f>
        <v>Bachelor's</v>
      </c>
      <c r="F331" s="19">
        <f>'Data Mentah'!E331</f>
        <v>3</v>
      </c>
      <c r="G331" s="20">
        <f>'Data Mentah'!F331</f>
        <v>50000</v>
      </c>
      <c r="H331" s="21">
        <f t="shared" si="25"/>
        <v>3.4</v>
      </c>
      <c r="I331" s="21">
        <f t="shared" si="26"/>
        <v>1</v>
      </c>
      <c r="J331" s="21">
        <f t="shared" si="27"/>
        <v>2.08</v>
      </c>
      <c r="K331" s="21">
        <f t="shared" si="28"/>
        <v>2.7899058682155018</v>
      </c>
      <c r="L331" s="21">
        <f t="shared" si="29"/>
        <v>10</v>
      </c>
    </row>
    <row r="332" spans="1:12" ht="15" customHeight="1" x14ac:dyDescent="0.35">
      <c r="A332" s="11">
        <v>330</v>
      </c>
      <c r="B332" s="8" t="str">
        <f>'Data Mentah'!D332</f>
        <v>Senior Financial Analyst</v>
      </c>
      <c r="C332" s="22">
        <f>'Data Mentah'!A332</f>
        <v>40</v>
      </c>
      <c r="D332" s="11" t="str">
        <f>'Data Mentah'!B332</f>
        <v>Male</v>
      </c>
      <c r="E332" s="11" t="str">
        <f>'Data Mentah'!C332</f>
        <v>Bachelor's</v>
      </c>
      <c r="F332" s="23">
        <f>'Data Mentah'!E332</f>
        <v>12</v>
      </c>
      <c r="G332" s="24">
        <f>'Data Mentah'!F332</f>
        <v>130000</v>
      </c>
      <c r="H332" s="25">
        <f t="shared" si="25"/>
        <v>6.1</v>
      </c>
      <c r="I332" s="25">
        <f t="shared" si="26"/>
        <v>1</v>
      </c>
      <c r="J332" s="25">
        <f t="shared" si="27"/>
        <v>5.32</v>
      </c>
      <c r="K332" s="25">
        <f t="shared" si="28"/>
        <v>5.673943520929301</v>
      </c>
      <c r="L332" s="25">
        <f t="shared" si="29"/>
        <v>1</v>
      </c>
    </row>
    <row r="333" spans="1:12" ht="15" customHeight="1" x14ac:dyDescent="0.35">
      <c r="A333" s="14">
        <v>331</v>
      </c>
      <c r="B333" s="17" t="str">
        <f>'Data Mentah'!D333</f>
        <v>Senior UX Designer</v>
      </c>
      <c r="C333" s="18">
        <f>'Data Mentah'!A333</f>
        <v>45</v>
      </c>
      <c r="D333" s="14" t="str">
        <f>'Data Mentah'!B333</f>
        <v>Female</v>
      </c>
      <c r="E333" s="14" t="str">
        <f>'Data Mentah'!C333</f>
        <v>PhD</v>
      </c>
      <c r="F333" s="19">
        <f>'Data Mentah'!E333</f>
        <v>16</v>
      </c>
      <c r="G333" s="20">
        <f>'Data Mentah'!F333</f>
        <v>160000</v>
      </c>
      <c r="H333" s="21">
        <f t="shared" si="25"/>
        <v>7.6</v>
      </c>
      <c r="I333" s="21">
        <f t="shared" si="26"/>
        <v>10</v>
      </c>
      <c r="J333" s="21">
        <f t="shared" si="27"/>
        <v>6.76</v>
      </c>
      <c r="K333" s="21">
        <f t="shared" si="28"/>
        <v>6.7554576406969762</v>
      </c>
      <c r="L333" s="21">
        <f t="shared" si="29"/>
        <v>10</v>
      </c>
    </row>
    <row r="334" spans="1:12" ht="15" customHeight="1" x14ac:dyDescent="0.35">
      <c r="A334" s="11">
        <v>332</v>
      </c>
      <c r="B334" s="8" t="str">
        <f>'Data Mentah'!D334</f>
        <v>Junior Product Manager</v>
      </c>
      <c r="C334" s="22">
        <f>'Data Mentah'!A334</f>
        <v>33</v>
      </c>
      <c r="D334" s="11" t="str">
        <f>'Data Mentah'!B334</f>
        <v>Male</v>
      </c>
      <c r="E334" s="11" t="str">
        <f>'Data Mentah'!C334</f>
        <v>Bachelor's</v>
      </c>
      <c r="F334" s="23">
        <f>'Data Mentah'!E334</f>
        <v>4</v>
      </c>
      <c r="G334" s="24">
        <f>'Data Mentah'!F334</f>
        <v>60000</v>
      </c>
      <c r="H334" s="25">
        <f t="shared" si="25"/>
        <v>4</v>
      </c>
      <c r="I334" s="25">
        <f t="shared" si="26"/>
        <v>1</v>
      </c>
      <c r="J334" s="25">
        <f t="shared" si="27"/>
        <v>2.44</v>
      </c>
      <c r="K334" s="25">
        <f t="shared" si="28"/>
        <v>3.1504105748047264</v>
      </c>
      <c r="L334" s="25">
        <f t="shared" si="29"/>
        <v>1</v>
      </c>
    </row>
    <row r="335" spans="1:12" ht="15" customHeight="1" x14ac:dyDescent="0.35">
      <c r="A335" s="14">
        <v>333</v>
      </c>
      <c r="B335" s="17" t="str">
        <f>'Data Mentah'!D335</f>
        <v>Senior Marketing Manager</v>
      </c>
      <c r="C335" s="18">
        <f>'Data Mentah'!A335</f>
        <v>36</v>
      </c>
      <c r="D335" s="14" t="str">
        <f>'Data Mentah'!B335</f>
        <v>Female</v>
      </c>
      <c r="E335" s="14" t="str">
        <f>'Data Mentah'!C335</f>
        <v>Bachelor's</v>
      </c>
      <c r="F335" s="19">
        <f>'Data Mentah'!E335</f>
        <v>8</v>
      </c>
      <c r="G335" s="20">
        <f>'Data Mentah'!F335</f>
        <v>95000</v>
      </c>
      <c r="H335" s="21">
        <f t="shared" si="25"/>
        <v>4.9000000000000004</v>
      </c>
      <c r="I335" s="21">
        <f t="shared" si="26"/>
        <v>1</v>
      </c>
      <c r="J335" s="21">
        <f t="shared" si="27"/>
        <v>3.88</v>
      </c>
      <c r="K335" s="21">
        <f t="shared" si="28"/>
        <v>4.4121770478670133</v>
      </c>
      <c r="L335" s="21">
        <f t="shared" si="29"/>
        <v>10</v>
      </c>
    </row>
    <row r="336" spans="1:12" ht="15" customHeight="1" x14ac:dyDescent="0.35">
      <c r="A336" s="11">
        <v>334</v>
      </c>
      <c r="B336" s="8" t="str">
        <f>'Data Mentah'!D336</f>
        <v>Director of Operations</v>
      </c>
      <c r="C336" s="22">
        <f>'Data Mentah'!A336</f>
        <v>47</v>
      </c>
      <c r="D336" s="11" t="str">
        <f>'Data Mentah'!B336</f>
        <v>Male</v>
      </c>
      <c r="E336" s="11" t="str">
        <f>'Data Mentah'!C336</f>
        <v>Master's</v>
      </c>
      <c r="F336" s="23">
        <f>'Data Mentah'!E336</f>
        <v>19</v>
      </c>
      <c r="G336" s="24">
        <f>'Data Mentah'!F336</f>
        <v>170000</v>
      </c>
      <c r="H336" s="25">
        <f t="shared" si="25"/>
        <v>8.1999999999999993</v>
      </c>
      <c r="I336" s="25">
        <f t="shared" si="26"/>
        <v>5.5</v>
      </c>
      <c r="J336" s="25">
        <f t="shared" si="27"/>
        <v>7.84</v>
      </c>
      <c r="K336" s="25">
        <f t="shared" si="28"/>
        <v>7.1159623472862004</v>
      </c>
      <c r="L336" s="25">
        <f t="shared" si="29"/>
        <v>1</v>
      </c>
    </row>
    <row r="337" spans="1:12" ht="15" customHeight="1" x14ac:dyDescent="0.35">
      <c r="A337" s="14">
        <v>335</v>
      </c>
      <c r="B337" s="17" t="str">
        <f>'Data Mentah'!D337</f>
        <v>Junior Project Manager</v>
      </c>
      <c r="C337" s="18">
        <f>'Data Mentah'!A337</f>
        <v>29</v>
      </c>
      <c r="D337" s="14" t="str">
        <f>'Data Mentah'!B337</f>
        <v>Female</v>
      </c>
      <c r="E337" s="14" t="str">
        <f>'Data Mentah'!C337</f>
        <v>Bachelor's</v>
      </c>
      <c r="F337" s="19">
        <f>'Data Mentah'!E337</f>
        <v>2</v>
      </c>
      <c r="G337" s="20">
        <f>'Data Mentah'!F337</f>
        <v>40000</v>
      </c>
      <c r="H337" s="21">
        <f t="shared" si="25"/>
        <v>2.8</v>
      </c>
      <c r="I337" s="21">
        <f t="shared" si="26"/>
        <v>1</v>
      </c>
      <c r="J337" s="21">
        <f t="shared" si="27"/>
        <v>1.72</v>
      </c>
      <c r="K337" s="21">
        <f t="shared" si="28"/>
        <v>2.4294011616262767</v>
      </c>
      <c r="L337" s="21">
        <f t="shared" si="29"/>
        <v>10</v>
      </c>
    </row>
    <row r="338" spans="1:12" ht="15" customHeight="1" x14ac:dyDescent="0.35">
      <c r="A338" s="11">
        <v>336</v>
      </c>
      <c r="B338" s="8" t="str">
        <f>'Data Mentah'!D338</f>
        <v>Senior Operations Coordinator</v>
      </c>
      <c r="C338" s="22">
        <f>'Data Mentah'!A338</f>
        <v>34</v>
      </c>
      <c r="D338" s="11" t="str">
        <f>'Data Mentah'!B338</f>
        <v>Male</v>
      </c>
      <c r="E338" s="11" t="str">
        <f>'Data Mentah'!C338</f>
        <v>Bachelor's</v>
      </c>
      <c r="F338" s="23">
        <f>'Data Mentah'!E338</f>
        <v>7</v>
      </c>
      <c r="G338" s="24">
        <f>'Data Mentah'!F338</f>
        <v>90000</v>
      </c>
      <c r="H338" s="25">
        <f t="shared" si="25"/>
        <v>4.3</v>
      </c>
      <c r="I338" s="25">
        <f t="shared" si="26"/>
        <v>1</v>
      </c>
      <c r="J338" s="25">
        <f t="shared" si="27"/>
        <v>3.52</v>
      </c>
      <c r="K338" s="25">
        <f t="shared" si="28"/>
        <v>4.2319246945724007</v>
      </c>
      <c r="L338" s="25">
        <f t="shared" si="29"/>
        <v>1</v>
      </c>
    </row>
    <row r="339" spans="1:12" ht="15" customHeight="1" x14ac:dyDescent="0.35">
      <c r="A339" s="14">
        <v>337</v>
      </c>
      <c r="B339" s="17" t="str">
        <f>'Data Mentah'!D339</f>
        <v>Senior Business Analyst</v>
      </c>
      <c r="C339" s="18">
        <f>'Data Mentah'!A339</f>
        <v>44</v>
      </c>
      <c r="D339" s="14" t="str">
        <f>'Data Mentah'!B339</f>
        <v>Female</v>
      </c>
      <c r="E339" s="14" t="str">
        <f>'Data Mentah'!C339</f>
        <v>PhD</v>
      </c>
      <c r="F339" s="19">
        <f>'Data Mentah'!E339</f>
        <v>15</v>
      </c>
      <c r="G339" s="20">
        <f>'Data Mentah'!F339</f>
        <v>150000</v>
      </c>
      <c r="H339" s="21">
        <f t="shared" si="25"/>
        <v>7.3</v>
      </c>
      <c r="I339" s="21">
        <f t="shared" si="26"/>
        <v>10</v>
      </c>
      <c r="J339" s="21">
        <f t="shared" si="27"/>
        <v>6.4</v>
      </c>
      <c r="K339" s="21">
        <f t="shared" si="28"/>
        <v>6.3949529341077511</v>
      </c>
      <c r="L339" s="21">
        <f t="shared" si="29"/>
        <v>10</v>
      </c>
    </row>
    <row r="340" spans="1:12" ht="15" customHeight="1" x14ac:dyDescent="0.35">
      <c r="A340" s="11">
        <v>338</v>
      </c>
      <c r="B340" s="8" t="str">
        <f>'Data Mentah'!D340</f>
        <v>Junior Marketing Specialist</v>
      </c>
      <c r="C340" s="22">
        <f>'Data Mentah'!A340</f>
        <v>33</v>
      </c>
      <c r="D340" s="11" t="str">
        <f>'Data Mentah'!B340</f>
        <v>Male</v>
      </c>
      <c r="E340" s="11" t="str">
        <f>'Data Mentah'!C340</f>
        <v>Bachelor's</v>
      </c>
      <c r="F340" s="23">
        <f>'Data Mentah'!E340</f>
        <v>5</v>
      </c>
      <c r="G340" s="24">
        <f>'Data Mentah'!F340</f>
        <v>70000</v>
      </c>
      <c r="H340" s="25">
        <f t="shared" si="25"/>
        <v>4</v>
      </c>
      <c r="I340" s="25">
        <f t="shared" si="26"/>
        <v>1</v>
      </c>
      <c r="J340" s="25">
        <f t="shared" si="27"/>
        <v>2.8</v>
      </c>
      <c r="K340" s="25">
        <f t="shared" si="28"/>
        <v>3.5109152813939515</v>
      </c>
      <c r="L340" s="25">
        <f t="shared" si="29"/>
        <v>1</v>
      </c>
    </row>
    <row r="341" spans="1:12" ht="15" customHeight="1" x14ac:dyDescent="0.35">
      <c r="A341" s="14">
        <v>339</v>
      </c>
      <c r="B341" s="17" t="str">
        <f>'Data Mentah'!D341</f>
        <v>Senior Financial Manager</v>
      </c>
      <c r="C341" s="18">
        <f>'Data Mentah'!A341</f>
        <v>35</v>
      </c>
      <c r="D341" s="14" t="str">
        <f>'Data Mentah'!B341</f>
        <v>Female</v>
      </c>
      <c r="E341" s="14" t="str">
        <f>'Data Mentah'!C341</f>
        <v>Bachelor's</v>
      </c>
      <c r="F341" s="19">
        <f>'Data Mentah'!E341</f>
        <v>8</v>
      </c>
      <c r="G341" s="20">
        <f>'Data Mentah'!F341</f>
        <v>90000</v>
      </c>
      <c r="H341" s="21">
        <f t="shared" si="25"/>
        <v>4.5999999999999996</v>
      </c>
      <c r="I341" s="21">
        <f t="shared" si="26"/>
        <v>1</v>
      </c>
      <c r="J341" s="21">
        <f t="shared" si="27"/>
        <v>3.88</v>
      </c>
      <c r="K341" s="21">
        <f t="shared" si="28"/>
        <v>4.2319246945724007</v>
      </c>
      <c r="L341" s="21">
        <f t="shared" si="29"/>
        <v>10</v>
      </c>
    </row>
    <row r="342" spans="1:12" ht="15" customHeight="1" x14ac:dyDescent="0.35">
      <c r="A342" s="11">
        <v>340</v>
      </c>
      <c r="B342" s="8" t="str">
        <f>'Data Mentah'!D342</f>
        <v>Director of Marketing</v>
      </c>
      <c r="C342" s="22">
        <f>'Data Mentah'!A342</f>
        <v>43</v>
      </c>
      <c r="D342" s="11" t="str">
        <f>'Data Mentah'!B342</f>
        <v>Male</v>
      </c>
      <c r="E342" s="11" t="str">
        <f>'Data Mentah'!C342</f>
        <v>Master's</v>
      </c>
      <c r="F342" s="23">
        <f>'Data Mentah'!E342</f>
        <v>18</v>
      </c>
      <c r="G342" s="24">
        <f>'Data Mentah'!F342</f>
        <v>170000</v>
      </c>
      <c r="H342" s="25">
        <f t="shared" si="25"/>
        <v>7</v>
      </c>
      <c r="I342" s="25">
        <f t="shared" si="26"/>
        <v>5.5</v>
      </c>
      <c r="J342" s="25">
        <f t="shared" si="27"/>
        <v>7.48</v>
      </c>
      <c r="K342" s="25">
        <f t="shared" si="28"/>
        <v>7.1159623472862004</v>
      </c>
      <c r="L342" s="25">
        <f t="shared" si="29"/>
        <v>1</v>
      </c>
    </row>
    <row r="343" spans="1:12" ht="15" customHeight="1" x14ac:dyDescent="0.35">
      <c r="A343" s="14">
        <v>341</v>
      </c>
      <c r="B343" s="17" t="str">
        <f>'Data Mentah'!D343</f>
        <v>Junior Financial Analyst</v>
      </c>
      <c r="C343" s="18">
        <f>'Data Mentah'!A343</f>
        <v>31</v>
      </c>
      <c r="D343" s="14" t="str">
        <f>'Data Mentah'!B343</f>
        <v>Female</v>
      </c>
      <c r="E343" s="14" t="str">
        <f>'Data Mentah'!C343</f>
        <v>Bachelor's</v>
      </c>
      <c r="F343" s="19">
        <f>'Data Mentah'!E343</f>
        <v>3</v>
      </c>
      <c r="G343" s="20">
        <f>'Data Mentah'!F343</f>
        <v>50000</v>
      </c>
      <c r="H343" s="21">
        <f t="shared" si="25"/>
        <v>3.4</v>
      </c>
      <c r="I343" s="21">
        <f t="shared" si="26"/>
        <v>1</v>
      </c>
      <c r="J343" s="21">
        <f t="shared" si="27"/>
        <v>2.08</v>
      </c>
      <c r="K343" s="21">
        <f t="shared" si="28"/>
        <v>2.7899058682155018</v>
      </c>
      <c r="L343" s="21">
        <f t="shared" si="29"/>
        <v>10</v>
      </c>
    </row>
    <row r="344" spans="1:12" ht="15" customHeight="1" x14ac:dyDescent="0.35">
      <c r="A344" s="11">
        <v>342</v>
      </c>
      <c r="B344" s="8" t="str">
        <f>'Data Mentah'!D344</f>
        <v>Senior Product Manager</v>
      </c>
      <c r="C344" s="22">
        <f>'Data Mentah'!A344</f>
        <v>41</v>
      </c>
      <c r="D344" s="11" t="str">
        <f>'Data Mentah'!B344</f>
        <v>Male</v>
      </c>
      <c r="E344" s="11" t="str">
        <f>'Data Mentah'!C344</f>
        <v>Bachelor's</v>
      </c>
      <c r="F344" s="23">
        <f>'Data Mentah'!E344</f>
        <v>14</v>
      </c>
      <c r="G344" s="24">
        <f>'Data Mentah'!F344</f>
        <v>150000</v>
      </c>
      <c r="H344" s="25">
        <f t="shared" si="25"/>
        <v>6.4</v>
      </c>
      <c r="I344" s="25">
        <f t="shared" si="26"/>
        <v>1</v>
      </c>
      <c r="J344" s="25">
        <f t="shared" si="27"/>
        <v>6.04</v>
      </c>
      <c r="K344" s="25">
        <f t="shared" si="28"/>
        <v>6.3949529341077511</v>
      </c>
      <c r="L344" s="25">
        <f t="shared" si="29"/>
        <v>1</v>
      </c>
    </row>
    <row r="345" spans="1:12" ht="15" customHeight="1" x14ac:dyDescent="0.35">
      <c r="A345" s="14">
        <v>343</v>
      </c>
      <c r="B345" s="17" t="str">
        <f>'Data Mentah'!D345</f>
        <v>Senior Data Engineer</v>
      </c>
      <c r="C345" s="18">
        <f>'Data Mentah'!A345</f>
        <v>44</v>
      </c>
      <c r="D345" s="14" t="str">
        <f>'Data Mentah'!B345</f>
        <v>Female</v>
      </c>
      <c r="E345" s="14" t="str">
        <f>'Data Mentah'!C345</f>
        <v>PhD</v>
      </c>
      <c r="F345" s="19">
        <f>'Data Mentah'!E345</f>
        <v>16</v>
      </c>
      <c r="G345" s="20">
        <f>'Data Mentah'!F345</f>
        <v>160000</v>
      </c>
      <c r="H345" s="21">
        <f t="shared" si="25"/>
        <v>7.3</v>
      </c>
      <c r="I345" s="21">
        <f t="shared" si="26"/>
        <v>10</v>
      </c>
      <c r="J345" s="21">
        <f t="shared" si="27"/>
        <v>6.76</v>
      </c>
      <c r="K345" s="21">
        <f t="shared" si="28"/>
        <v>6.7554576406969762</v>
      </c>
      <c r="L345" s="21">
        <f t="shared" si="29"/>
        <v>10</v>
      </c>
    </row>
    <row r="346" spans="1:12" ht="15" customHeight="1" x14ac:dyDescent="0.35">
      <c r="A346" s="11">
        <v>344</v>
      </c>
      <c r="B346" s="8" t="str">
        <f>'Data Mentah'!D346</f>
        <v>Junior Business Analyst</v>
      </c>
      <c r="C346" s="22">
        <f>'Data Mentah'!A346</f>
        <v>33</v>
      </c>
      <c r="D346" s="11" t="str">
        <f>'Data Mentah'!B346</f>
        <v>Male</v>
      </c>
      <c r="E346" s="11" t="str">
        <f>'Data Mentah'!C346</f>
        <v>Bachelor's</v>
      </c>
      <c r="F346" s="23">
        <f>'Data Mentah'!E346</f>
        <v>4</v>
      </c>
      <c r="G346" s="24">
        <f>'Data Mentah'!F346</f>
        <v>60000</v>
      </c>
      <c r="H346" s="25">
        <f t="shared" si="25"/>
        <v>4</v>
      </c>
      <c r="I346" s="25">
        <f t="shared" si="26"/>
        <v>1</v>
      </c>
      <c r="J346" s="25">
        <f t="shared" si="27"/>
        <v>2.44</v>
      </c>
      <c r="K346" s="25">
        <f t="shared" si="28"/>
        <v>3.1504105748047264</v>
      </c>
      <c r="L346" s="25">
        <f t="shared" si="29"/>
        <v>1</v>
      </c>
    </row>
    <row r="347" spans="1:12" ht="15" customHeight="1" x14ac:dyDescent="0.35">
      <c r="A347" s="14">
        <v>345</v>
      </c>
      <c r="B347" s="17" t="str">
        <f>'Data Mentah'!D347</f>
        <v>Senior Marketing Analyst</v>
      </c>
      <c r="C347" s="18">
        <f>'Data Mentah'!A347</f>
        <v>35</v>
      </c>
      <c r="D347" s="14" t="str">
        <f>'Data Mentah'!B347</f>
        <v>Female</v>
      </c>
      <c r="E347" s="14" t="str">
        <f>'Data Mentah'!C347</f>
        <v>Bachelor's</v>
      </c>
      <c r="F347" s="19">
        <f>'Data Mentah'!E347</f>
        <v>8</v>
      </c>
      <c r="G347" s="20">
        <f>'Data Mentah'!F347</f>
        <v>85000</v>
      </c>
      <c r="H347" s="21">
        <f t="shared" si="25"/>
        <v>4.5999999999999996</v>
      </c>
      <c r="I347" s="21">
        <f t="shared" si="26"/>
        <v>1</v>
      </c>
      <c r="J347" s="21">
        <f t="shared" si="27"/>
        <v>3.88</v>
      </c>
      <c r="K347" s="21">
        <f t="shared" si="28"/>
        <v>4.0516723412777891</v>
      </c>
      <c r="L347" s="21">
        <f t="shared" si="29"/>
        <v>10</v>
      </c>
    </row>
    <row r="348" spans="1:12" ht="15" customHeight="1" x14ac:dyDescent="0.35">
      <c r="A348" s="11">
        <v>346</v>
      </c>
      <c r="B348" s="8" t="str">
        <f>'Data Mentah'!D348</f>
        <v>Director of Engineering</v>
      </c>
      <c r="C348" s="22">
        <f>'Data Mentah'!A348</f>
        <v>45</v>
      </c>
      <c r="D348" s="11" t="str">
        <f>'Data Mentah'!B348</f>
        <v>Male</v>
      </c>
      <c r="E348" s="11" t="str">
        <f>'Data Mentah'!C348</f>
        <v>Master's</v>
      </c>
      <c r="F348" s="23">
        <f>'Data Mentah'!E348</f>
        <v>19</v>
      </c>
      <c r="G348" s="24">
        <f>'Data Mentah'!F348</f>
        <v>180000</v>
      </c>
      <c r="H348" s="25">
        <f t="shared" si="25"/>
        <v>7.6</v>
      </c>
      <c r="I348" s="25">
        <f t="shared" si="26"/>
        <v>5.5</v>
      </c>
      <c r="J348" s="25">
        <f t="shared" si="27"/>
        <v>7.84</v>
      </c>
      <c r="K348" s="25">
        <f t="shared" si="28"/>
        <v>7.4764670538754254</v>
      </c>
      <c r="L348" s="25">
        <f t="shared" si="29"/>
        <v>1</v>
      </c>
    </row>
    <row r="349" spans="1:12" ht="15" customHeight="1" x14ac:dyDescent="0.35">
      <c r="A349" s="14">
        <v>347</v>
      </c>
      <c r="B349" s="17" t="str">
        <f>'Data Mentah'!D349</f>
        <v>Junior Operations Manager</v>
      </c>
      <c r="C349" s="18">
        <f>'Data Mentah'!A349</f>
        <v>28</v>
      </c>
      <c r="D349" s="14" t="str">
        <f>'Data Mentah'!B349</f>
        <v>Female</v>
      </c>
      <c r="E349" s="14" t="str">
        <f>'Data Mentah'!C349</f>
        <v>Bachelor's</v>
      </c>
      <c r="F349" s="19">
        <f>'Data Mentah'!E349</f>
        <v>1</v>
      </c>
      <c r="G349" s="20">
        <f>'Data Mentah'!F349</f>
        <v>35000</v>
      </c>
      <c r="H349" s="21">
        <f t="shared" si="25"/>
        <v>2.5</v>
      </c>
      <c r="I349" s="21">
        <f t="shared" si="26"/>
        <v>1</v>
      </c>
      <c r="J349" s="21">
        <f t="shared" si="27"/>
        <v>1.3599999999999999</v>
      </c>
      <c r="K349" s="21">
        <f t="shared" si="28"/>
        <v>2.2491488083316646</v>
      </c>
      <c r="L349" s="21">
        <f t="shared" si="29"/>
        <v>10</v>
      </c>
    </row>
    <row r="350" spans="1:12" ht="15" customHeight="1" x14ac:dyDescent="0.35">
      <c r="A350" s="11">
        <v>348</v>
      </c>
      <c r="B350" s="8" t="str">
        <f>'Data Mentah'!D350</f>
        <v>Senior Business Development Manager</v>
      </c>
      <c r="C350" s="22">
        <f>'Data Mentah'!A350</f>
        <v>36</v>
      </c>
      <c r="D350" s="11" t="str">
        <f>'Data Mentah'!B350</f>
        <v>Male</v>
      </c>
      <c r="E350" s="11" t="str">
        <f>'Data Mentah'!C350</f>
        <v>Bachelor's</v>
      </c>
      <c r="F350" s="23">
        <f>'Data Mentah'!E350</f>
        <v>8</v>
      </c>
      <c r="G350" s="24">
        <f>'Data Mentah'!F350</f>
        <v>110000</v>
      </c>
      <c r="H350" s="25">
        <f t="shared" si="25"/>
        <v>4.9000000000000004</v>
      </c>
      <c r="I350" s="25">
        <f t="shared" si="26"/>
        <v>1</v>
      </c>
      <c r="J350" s="25">
        <f t="shared" si="27"/>
        <v>3.88</v>
      </c>
      <c r="K350" s="25">
        <f t="shared" si="28"/>
        <v>4.9529341077508509</v>
      </c>
      <c r="L350" s="25">
        <f t="shared" si="29"/>
        <v>1</v>
      </c>
    </row>
    <row r="351" spans="1:12" ht="15" customHeight="1" x14ac:dyDescent="0.35">
      <c r="A351" s="14">
        <v>349</v>
      </c>
      <c r="B351" s="17" t="str">
        <f>'Data Mentah'!D351</f>
        <v>Senior Data Scientist</v>
      </c>
      <c r="C351" s="18">
        <f>'Data Mentah'!A351</f>
        <v>44</v>
      </c>
      <c r="D351" s="14" t="str">
        <f>'Data Mentah'!B351</f>
        <v>Female</v>
      </c>
      <c r="E351" s="14" t="str">
        <f>'Data Mentah'!C351</f>
        <v>PhD</v>
      </c>
      <c r="F351" s="19">
        <f>'Data Mentah'!E351</f>
        <v>16</v>
      </c>
      <c r="G351" s="20">
        <f>'Data Mentah'!F351</f>
        <v>160000</v>
      </c>
      <c r="H351" s="21">
        <f t="shared" si="25"/>
        <v>7.3</v>
      </c>
      <c r="I351" s="21">
        <f t="shared" si="26"/>
        <v>10</v>
      </c>
      <c r="J351" s="21">
        <f t="shared" si="27"/>
        <v>6.76</v>
      </c>
      <c r="K351" s="21">
        <f t="shared" si="28"/>
        <v>6.7554576406969762</v>
      </c>
      <c r="L351" s="21">
        <f t="shared" si="29"/>
        <v>10</v>
      </c>
    </row>
    <row r="352" spans="1:12" ht="15" customHeight="1" x14ac:dyDescent="0.35">
      <c r="A352" s="11">
        <v>350</v>
      </c>
      <c r="B352" s="8" t="str">
        <f>'Data Mentah'!D352</f>
        <v>Junior Marketing Coordinator</v>
      </c>
      <c r="C352" s="22">
        <f>'Data Mentah'!A352</f>
        <v>31</v>
      </c>
      <c r="D352" s="11" t="str">
        <f>'Data Mentah'!B352</f>
        <v>Male</v>
      </c>
      <c r="E352" s="11" t="str">
        <f>'Data Mentah'!C352</f>
        <v>Bachelor's</v>
      </c>
      <c r="F352" s="23">
        <f>'Data Mentah'!E352</f>
        <v>3</v>
      </c>
      <c r="G352" s="24">
        <f>'Data Mentah'!F352</f>
        <v>55000</v>
      </c>
      <c r="H352" s="25">
        <f t="shared" si="25"/>
        <v>3.4</v>
      </c>
      <c r="I352" s="25">
        <f t="shared" si="26"/>
        <v>1</v>
      </c>
      <c r="J352" s="25">
        <f t="shared" si="27"/>
        <v>2.08</v>
      </c>
      <c r="K352" s="25">
        <f t="shared" si="28"/>
        <v>2.9701582215101139</v>
      </c>
      <c r="L352" s="25">
        <f t="shared" si="29"/>
        <v>1</v>
      </c>
    </row>
    <row r="353" spans="1:12" ht="15" customHeight="1" x14ac:dyDescent="0.35">
      <c r="A353" s="14">
        <v>351</v>
      </c>
      <c r="B353" s="17" t="str">
        <f>'Data Mentah'!D353</f>
        <v>Senior Business Analyst</v>
      </c>
      <c r="C353" s="18">
        <f>'Data Mentah'!A353</f>
        <v>38</v>
      </c>
      <c r="D353" s="14" t="str">
        <f>'Data Mentah'!B353</f>
        <v>Female</v>
      </c>
      <c r="E353" s="14" t="str">
        <f>'Data Mentah'!C353</f>
        <v>Bachelor's</v>
      </c>
      <c r="F353" s="19">
        <f>'Data Mentah'!E353</f>
        <v>10</v>
      </c>
      <c r="G353" s="20">
        <f>'Data Mentah'!F353</f>
        <v>110000</v>
      </c>
      <c r="H353" s="21">
        <f t="shared" si="25"/>
        <v>5.5</v>
      </c>
      <c r="I353" s="21">
        <f t="shared" si="26"/>
        <v>1</v>
      </c>
      <c r="J353" s="21">
        <f t="shared" si="27"/>
        <v>4.5999999999999996</v>
      </c>
      <c r="K353" s="21">
        <f t="shared" si="28"/>
        <v>4.9529341077508509</v>
      </c>
      <c r="L353" s="21">
        <f t="shared" si="29"/>
        <v>10</v>
      </c>
    </row>
    <row r="354" spans="1:12" ht="15" customHeight="1" x14ac:dyDescent="0.35">
      <c r="A354" s="11">
        <v>352</v>
      </c>
      <c r="B354" s="8" t="str">
        <f>'Data Mentah'!D354</f>
        <v>Director of Marketing</v>
      </c>
      <c r="C354" s="22">
        <f>'Data Mentah'!A354</f>
        <v>48</v>
      </c>
      <c r="D354" s="11" t="str">
        <f>'Data Mentah'!B354</f>
        <v>Male</v>
      </c>
      <c r="E354" s="11" t="str">
        <f>'Data Mentah'!C354</f>
        <v>Master's</v>
      </c>
      <c r="F354" s="23">
        <f>'Data Mentah'!E354</f>
        <v>21</v>
      </c>
      <c r="G354" s="24">
        <f>'Data Mentah'!F354</f>
        <v>180000</v>
      </c>
      <c r="H354" s="25">
        <f t="shared" si="25"/>
        <v>8.5</v>
      </c>
      <c r="I354" s="25">
        <f t="shared" si="26"/>
        <v>5.5</v>
      </c>
      <c r="J354" s="25">
        <f t="shared" si="27"/>
        <v>8.5599999999999987</v>
      </c>
      <c r="K354" s="25">
        <f t="shared" si="28"/>
        <v>7.4764670538754254</v>
      </c>
      <c r="L354" s="25">
        <f t="shared" si="29"/>
        <v>1</v>
      </c>
    </row>
    <row r="355" spans="1:12" ht="15" customHeight="1" x14ac:dyDescent="0.35">
      <c r="A355" s="14">
        <v>353</v>
      </c>
      <c r="B355" s="17" t="str">
        <f>'Data Mentah'!D355</f>
        <v>Junior Business Development Associate</v>
      </c>
      <c r="C355" s="18">
        <f>'Data Mentah'!A355</f>
        <v>31</v>
      </c>
      <c r="D355" s="14" t="str">
        <f>'Data Mentah'!B355</f>
        <v>Female</v>
      </c>
      <c r="E355" s="14" t="str">
        <f>'Data Mentah'!C355</f>
        <v>Bachelor's</v>
      </c>
      <c r="F355" s="19">
        <f>'Data Mentah'!E355</f>
        <v>3</v>
      </c>
      <c r="G355" s="20">
        <f>'Data Mentah'!F355</f>
        <v>50000</v>
      </c>
      <c r="H355" s="21">
        <f t="shared" si="25"/>
        <v>3.4</v>
      </c>
      <c r="I355" s="21">
        <f t="shared" si="26"/>
        <v>1</v>
      </c>
      <c r="J355" s="21">
        <f t="shared" si="27"/>
        <v>2.08</v>
      </c>
      <c r="K355" s="21">
        <f t="shared" si="28"/>
        <v>2.7899058682155018</v>
      </c>
      <c r="L355" s="21">
        <f t="shared" si="29"/>
        <v>10</v>
      </c>
    </row>
    <row r="356" spans="1:12" ht="15" customHeight="1" x14ac:dyDescent="0.35">
      <c r="A356" s="11">
        <v>354</v>
      </c>
      <c r="B356" s="8" t="str">
        <f>'Data Mentah'!D356</f>
        <v>Senior Financial Analyst</v>
      </c>
      <c r="C356" s="22">
        <f>'Data Mentah'!A356</f>
        <v>40</v>
      </c>
      <c r="D356" s="11" t="str">
        <f>'Data Mentah'!B356</f>
        <v>Male</v>
      </c>
      <c r="E356" s="11" t="str">
        <f>'Data Mentah'!C356</f>
        <v>Bachelor's</v>
      </c>
      <c r="F356" s="23">
        <f>'Data Mentah'!E356</f>
        <v>12</v>
      </c>
      <c r="G356" s="24">
        <f>'Data Mentah'!F356</f>
        <v>130000</v>
      </c>
      <c r="H356" s="25">
        <f t="shared" si="25"/>
        <v>6.1</v>
      </c>
      <c r="I356" s="25">
        <f t="shared" si="26"/>
        <v>1</v>
      </c>
      <c r="J356" s="25">
        <f t="shared" si="27"/>
        <v>5.32</v>
      </c>
      <c r="K356" s="25">
        <f t="shared" si="28"/>
        <v>5.673943520929301</v>
      </c>
      <c r="L356" s="25">
        <f t="shared" si="29"/>
        <v>1</v>
      </c>
    </row>
    <row r="357" spans="1:12" ht="15" customHeight="1" x14ac:dyDescent="0.35">
      <c r="A357" s="14">
        <v>355</v>
      </c>
      <c r="B357" s="17" t="str">
        <f>'Data Mentah'!D357</f>
        <v>Senior UX Designer</v>
      </c>
      <c r="C357" s="18">
        <f>'Data Mentah'!A357</f>
        <v>45</v>
      </c>
      <c r="D357" s="14" t="str">
        <f>'Data Mentah'!B357</f>
        <v>Female</v>
      </c>
      <c r="E357" s="14" t="str">
        <f>'Data Mentah'!C357</f>
        <v>PhD</v>
      </c>
      <c r="F357" s="19">
        <f>'Data Mentah'!E357</f>
        <v>16</v>
      </c>
      <c r="G357" s="20">
        <f>'Data Mentah'!F357</f>
        <v>160000</v>
      </c>
      <c r="H357" s="21">
        <f t="shared" si="25"/>
        <v>7.6</v>
      </c>
      <c r="I357" s="21">
        <f t="shared" si="26"/>
        <v>10</v>
      </c>
      <c r="J357" s="21">
        <f t="shared" si="27"/>
        <v>6.76</v>
      </c>
      <c r="K357" s="21">
        <f t="shared" si="28"/>
        <v>6.7554576406969762</v>
      </c>
      <c r="L357" s="21">
        <f t="shared" si="29"/>
        <v>10</v>
      </c>
    </row>
    <row r="358" spans="1:12" ht="15" customHeight="1" x14ac:dyDescent="0.35">
      <c r="A358" s="11">
        <v>356</v>
      </c>
      <c r="B358" s="8" t="str">
        <f>'Data Mentah'!D358</f>
        <v>Junior Product Manager</v>
      </c>
      <c r="C358" s="22">
        <f>'Data Mentah'!A358</f>
        <v>33</v>
      </c>
      <c r="D358" s="11" t="str">
        <f>'Data Mentah'!B358</f>
        <v>Male</v>
      </c>
      <c r="E358" s="11" t="str">
        <f>'Data Mentah'!C358</f>
        <v>Bachelor's</v>
      </c>
      <c r="F358" s="23">
        <f>'Data Mentah'!E358</f>
        <v>4</v>
      </c>
      <c r="G358" s="24">
        <f>'Data Mentah'!F358</f>
        <v>60000</v>
      </c>
      <c r="H358" s="25">
        <f t="shared" si="25"/>
        <v>4</v>
      </c>
      <c r="I358" s="25">
        <f t="shared" si="26"/>
        <v>1</v>
      </c>
      <c r="J358" s="25">
        <f t="shared" si="27"/>
        <v>2.44</v>
      </c>
      <c r="K358" s="25">
        <f t="shared" si="28"/>
        <v>3.1504105748047264</v>
      </c>
      <c r="L358" s="25">
        <f t="shared" si="29"/>
        <v>1</v>
      </c>
    </row>
    <row r="359" spans="1:12" ht="15" customHeight="1" x14ac:dyDescent="0.35">
      <c r="A359" s="14">
        <v>357</v>
      </c>
      <c r="B359" s="17" t="str">
        <f>'Data Mentah'!D359</f>
        <v>Senior Marketing Manager</v>
      </c>
      <c r="C359" s="18">
        <f>'Data Mentah'!A359</f>
        <v>36</v>
      </c>
      <c r="D359" s="14" t="str">
        <f>'Data Mentah'!B359</f>
        <v>Female</v>
      </c>
      <c r="E359" s="14" t="str">
        <f>'Data Mentah'!C359</f>
        <v>Bachelor's</v>
      </c>
      <c r="F359" s="19">
        <f>'Data Mentah'!E359</f>
        <v>8</v>
      </c>
      <c r="G359" s="20">
        <f>'Data Mentah'!F359</f>
        <v>95000</v>
      </c>
      <c r="H359" s="21">
        <f t="shared" si="25"/>
        <v>4.9000000000000004</v>
      </c>
      <c r="I359" s="21">
        <f t="shared" si="26"/>
        <v>1</v>
      </c>
      <c r="J359" s="21">
        <f t="shared" si="27"/>
        <v>3.88</v>
      </c>
      <c r="K359" s="21">
        <f t="shared" si="28"/>
        <v>4.4121770478670133</v>
      </c>
      <c r="L359" s="21">
        <f t="shared" si="29"/>
        <v>10</v>
      </c>
    </row>
    <row r="360" spans="1:12" ht="15" customHeight="1" x14ac:dyDescent="0.35">
      <c r="A360" s="11">
        <v>358</v>
      </c>
      <c r="B360" s="8" t="str">
        <f>'Data Mentah'!D360</f>
        <v>Director of Operations</v>
      </c>
      <c r="C360" s="22">
        <f>'Data Mentah'!A360</f>
        <v>47</v>
      </c>
      <c r="D360" s="11" t="str">
        <f>'Data Mentah'!B360</f>
        <v>Male</v>
      </c>
      <c r="E360" s="11" t="str">
        <f>'Data Mentah'!C360</f>
        <v>Master's</v>
      </c>
      <c r="F360" s="23">
        <f>'Data Mentah'!E360</f>
        <v>19</v>
      </c>
      <c r="G360" s="24">
        <f>'Data Mentah'!F360</f>
        <v>170000</v>
      </c>
      <c r="H360" s="25">
        <f t="shared" si="25"/>
        <v>8.1999999999999993</v>
      </c>
      <c r="I360" s="25">
        <f t="shared" si="26"/>
        <v>5.5</v>
      </c>
      <c r="J360" s="25">
        <f t="shared" si="27"/>
        <v>7.84</v>
      </c>
      <c r="K360" s="25">
        <f t="shared" si="28"/>
        <v>7.1159623472862004</v>
      </c>
      <c r="L360" s="25">
        <f t="shared" si="29"/>
        <v>1</v>
      </c>
    </row>
    <row r="361" spans="1:12" ht="15" customHeight="1" x14ac:dyDescent="0.35">
      <c r="A361" s="14">
        <v>359</v>
      </c>
      <c r="B361" s="17" t="str">
        <f>'Data Mentah'!D361</f>
        <v>Junior Project Manager</v>
      </c>
      <c r="C361" s="18">
        <f>'Data Mentah'!A361</f>
        <v>29</v>
      </c>
      <c r="D361" s="14" t="str">
        <f>'Data Mentah'!B361</f>
        <v>Female</v>
      </c>
      <c r="E361" s="14" t="str">
        <f>'Data Mentah'!C361</f>
        <v>Bachelor's</v>
      </c>
      <c r="F361" s="19">
        <f>'Data Mentah'!E361</f>
        <v>2</v>
      </c>
      <c r="G361" s="20">
        <f>'Data Mentah'!F361</f>
        <v>40000</v>
      </c>
      <c r="H361" s="21">
        <f t="shared" si="25"/>
        <v>2.8</v>
      </c>
      <c r="I361" s="21">
        <f t="shared" si="26"/>
        <v>1</v>
      </c>
      <c r="J361" s="21">
        <f t="shared" si="27"/>
        <v>1.72</v>
      </c>
      <c r="K361" s="21">
        <f t="shared" si="28"/>
        <v>2.4294011616262767</v>
      </c>
      <c r="L361" s="21">
        <f t="shared" si="29"/>
        <v>10</v>
      </c>
    </row>
    <row r="362" spans="1:12" ht="15" customHeight="1" x14ac:dyDescent="0.35">
      <c r="A362" s="11">
        <v>360</v>
      </c>
      <c r="B362" s="8" t="str">
        <f>'Data Mentah'!D362</f>
        <v>Senior Operations Coordinator</v>
      </c>
      <c r="C362" s="22">
        <f>'Data Mentah'!A362</f>
        <v>34</v>
      </c>
      <c r="D362" s="11" t="str">
        <f>'Data Mentah'!B362</f>
        <v>Male</v>
      </c>
      <c r="E362" s="11" t="str">
        <f>'Data Mentah'!C362</f>
        <v>Bachelor's</v>
      </c>
      <c r="F362" s="23">
        <f>'Data Mentah'!E362</f>
        <v>7</v>
      </c>
      <c r="G362" s="24">
        <f>'Data Mentah'!F362</f>
        <v>90000</v>
      </c>
      <c r="H362" s="25">
        <f t="shared" si="25"/>
        <v>4.3</v>
      </c>
      <c r="I362" s="25">
        <f t="shared" si="26"/>
        <v>1</v>
      </c>
      <c r="J362" s="25">
        <f t="shared" si="27"/>
        <v>3.52</v>
      </c>
      <c r="K362" s="25">
        <f t="shared" si="28"/>
        <v>4.2319246945724007</v>
      </c>
      <c r="L362" s="25">
        <f t="shared" si="29"/>
        <v>1</v>
      </c>
    </row>
    <row r="363" spans="1:12" ht="15" customHeight="1" x14ac:dyDescent="0.35">
      <c r="A363" s="14">
        <v>361</v>
      </c>
      <c r="B363" s="17" t="str">
        <f>'Data Mentah'!D363</f>
        <v>Senior Business Analyst</v>
      </c>
      <c r="C363" s="18">
        <f>'Data Mentah'!A363</f>
        <v>44</v>
      </c>
      <c r="D363" s="14" t="str">
        <f>'Data Mentah'!B363</f>
        <v>Female</v>
      </c>
      <c r="E363" s="14" t="str">
        <f>'Data Mentah'!C363</f>
        <v>PhD</v>
      </c>
      <c r="F363" s="19">
        <f>'Data Mentah'!E363</f>
        <v>15</v>
      </c>
      <c r="G363" s="20">
        <f>'Data Mentah'!F363</f>
        <v>150000</v>
      </c>
      <c r="H363" s="21">
        <f t="shared" si="25"/>
        <v>7.3</v>
      </c>
      <c r="I363" s="21">
        <f t="shared" si="26"/>
        <v>10</v>
      </c>
      <c r="J363" s="21">
        <f t="shared" si="27"/>
        <v>6.4</v>
      </c>
      <c r="K363" s="21">
        <f t="shared" si="28"/>
        <v>6.3949529341077511</v>
      </c>
      <c r="L363" s="21">
        <f t="shared" si="29"/>
        <v>10</v>
      </c>
    </row>
    <row r="364" spans="1:12" ht="15" customHeight="1" x14ac:dyDescent="0.35">
      <c r="A364" s="11">
        <v>362</v>
      </c>
      <c r="B364" s="8" t="str">
        <f>'Data Mentah'!D364</f>
        <v>Junior Marketing Specialist</v>
      </c>
      <c r="C364" s="22">
        <f>'Data Mentah'!A364</f>
        <v>33</v>
      </c>
      <c r="D364" s="11" t="str">
        <f>'Data Mentah'!B364</f>
        <v>Male</v>
      </c>
      <c r="E364" s="11" t="str">
        <f>'Data Mentah'!C364</f>
        <v>Bachelor's</v>
      </c>
      <c r="F364" s="23">
        <f>'Data Mentah'!E364</f>
        <v>5</v>
      </c>
      <c r="G364" s="24">
        <f>'Data Mentah'!F364</f>
        <v>70000</v>
      </c>
      <c r="H364" s="25">
        <f t="shared" si="25"/>
        <v>4</v>
      </c>
      <c r="I364" s="25">
        <f t="shared" si="26"/>
        <v>1</v>
      </c>
      <c r="J364" s="25">
        <f t="shared" si="27"/>
        <v>2.8</v>
      </c>
      <c r="K364" s="25">
        <f t="shared" si="28"/>
        <v>3.5109152813939515</v>
      </c>
      <c r="L364" s="25">
        <f t="shared" si="29"/>
        <v>1</v>
      </c>
    </row>
    <row r="365" spans="1:12" ht="15" customHeight="1" x14ac:dyDescent="0.35">
      <c r="A365" s="14">
        <v>363</v>
      </c>
      <c r="B365" s="17" t="str">
        <f>'Data Mentah'!D365</f>
        <v>Senior Financial Manager</v>
      </c>
      <c r="C365" s="18">
        <f>'Data Mentah'!A365</f>
        <v>35</v>
      </c>
      <c r="D365" s="14" t="str">
        <f>'Data Mentah'!B365</f>
        <v>Female</v>
      </c>
      <c r="E365" s="14" t="str">
        <f>'Data Mentah'!C365</f>
        <v>Bachelor's</v>
      </c>
      <c r="F365" s="19">
        <f>'Data Mentah'!E365</f>
        <v>8</v>
      </c>
      <c r="G365" s="20">
        <f>'Data Mentah'!F365</f>
        <v>90000</v>
      </c>
      <c r="H365" s="21">
        <f t="shared" si="25"/>
        <v>4.5999999999999996</v>
      </c>
      <c r="I365" s="21">
        <f t="shared" si="26"/>
        <v>1</v>
      </c>
      <c r="J365" s="21">
        <f t="shared" si="27"/>
        <v>3.88</v>
      </c>
      <c r="K365" s="21">
        <f t="shared" si="28"/>
        <v>4.2319246945724007</v>
      </c>
      <c r="L365" s="21">
        <f t="shared" si="29"/>
        <v>10</v>
      </c>
    </row>
    <row r="366" spans="1:12" ht="15" customHeight="1" x14ac:dyDescent="0.35">
      <c r="A366" s="11">
        <v>364</v>
      </c>
      <c r="B366" s="8" t="str">
        <f>'Data Mentah'!D366</f>
        <v>Director of Marketing</v>
      </c>
      <c r="C366" s="22">
        <f>'Data Mentah'!A366</f>
        <v>43</v>
      </c>
      <c r="D366" s="11" t="str">
        <f>'Data Mentah'!B366</f>
        <v>Male</v>
      </c>
      <c r="E366" s="11" t="str">
        <f>'Data Mentah'!C366</f>
        <v>Master's</v>
      </c>
      <c r="F366" s="23">
        <f>'Data Mentah'!E366</f>
        <v>18</v>
      </c>
      <c r="G366" s="24">
        <f>'Data Mentah'!F366</f>
        <v>170000</v>
      </c>
      <c r="H366" s="25">
        <f t="shared" si="25"/>
        <v>7</v>
      </c>
      <c r="I366" s="25">
        <f t="shared" si="26"/>
        <v>5.5</v>
      </c>
      <c r="J366" s="25">
        <f t="shared" si="27"/>
        <v>7.48</v>
      </c>
      <c r="K366" s="25">
        <f t="shared" si="28"/>
        <v>7.1159623472862004</v>
      </c>
      <c r="L366" s="25">
        <f t="shared" si="29"/>
        <v>1</v>
      </c>
    </row>
    <row r="367" spans="1:12" ht="15" customHeight="1" x14ac:dyDescent="0.35">
      <c r="A367" s="14">
        <v>365</v>
      </c>
      <c r="B367" s="17" t="str">
        <f>'Data Mentah'!D367</f>
        <v>Junior Financial Analyst</v>
      </c>
      <c r="C367" s="18">
        <f>'Data Mentah'!A367</f>
        <v>31</v>
      </c>
      <c r="D367" s="14" t="str">
        <f>'Data Mentah'!B367</f>
        <v>Female</v>
      </c>
      <c r="E367" s="14" t="str">
        <f>'Data Mentah'!C367</f>
        <v>Bachelor's</v>
      </c>
      <c r="F367" s="19">
        <f>'Data Mentah'!E367</f>
        <v>3</v>
      </c>
      <c r="G367" s="20">
        <f>'Data Mentah'!F367</f>
        <v>50000</v>
      </c>
      <c r="H367" s="21">
        <f t="shared" si="25"/>
        <v>3.4</v>
      </c>
      <c r="I367" s="21">
        <f t="shared" si="26"/>
        <v>1</v>
      </c>
      <c r="J367" s="21">
        <f t="shared" si="27"/>
        <v>2.08</v>
      </c>
      <c r="K367" s="21">
        <f t="shared" si="28"/>
        <v>2.7899058682155018</v>
      </c>
      <c r="L367" s="21">
        <f t="shared" si="29"/>
        <v>10</v>
      </c>
    </row>
    <row r="368" spans="1:12" ht="15" customHeight="1" x14ac:dyDescent="0.35">
      <c r="A368" s="11">
        <v>366</v>
      </c>
      <c r="B368" s="8" t="str">
        <f>'Data Mentah'!D368</f>
        <v>Senior Product Manager</v>
      </c>
      <c r="C368" s="22">
        <f>'Data Mentah'!A368</f>
        <v>41</v>
      </c>
      <c r="D368" s="11" t="str">
        <f>'Data Mentah'!B368</f>
        <v>Male</v>
      </c>
      <c r="E368" s="11" t="str">
        <f>'Data Mentah'!C368</f>
        <v>Bachelor's</v>
      </c>
      <c r="F368" s="23">
        <f>'Data Mentah'!E368</f>
        <v>14</v>
      </c>
      <c r="G368" s="24">
        <f>'Data Mentah'!F368</f>
        <v>150000</v>
      </c>
      <c r="H368" s="25">
        <f t="shared" si="25"/>
        <v>6.4</v>
      </c>
      <c r="I368" s="25">
        <f t="shared" si="26"/>
        <v>1</v>
      </c>
      <c r="J368" s="25">
        <f t="shared" si="27"/>
        <v>6.04</v>
      </c>
      <c r="K368" s="25">
        <f t="shared" si="28"/>
        <v>6.3949529341077511</v>
      </c>
      <c r="L368" s="25">
        <f t="shared" si="29"/>
        <v>1</v>
      </c>
    </row>
    <row r="369" spans="1:12" ht="15" customHeight="1" x14ac:dyDescent="0.35">
      <c r="A369" s="14">
        <v>367</v>
      </c>
      <c r="B369" s="17" t="str">
        <f>'Data Mentah'!D369</f>
        <v>Senior Data Engineer</v>
      </c>
      <c r="C369" s="18">
        <f>'Data Mentah'!A369</f>
        <v>44</v>
      </c>
      <c r="D369" s="14" t="str">
        <f>'Data Mentah'!B369</f>
        <v>Female</v>
      </c>
      <c r="E369" s="14" t="str">
        <f>'Data Mentah'!C369</f>
        <v>PhD</v>
      </c>
      <c r="F369" s="19">
        <f>'Data Mentah'!E369</f>
        <v>16</v>
      </c>
      <c r="G369" s="20">
        <f>'Data Mentah'!F369</f>
        <v>160000</v>
      </c>
      <c r="H369" s="21">
        <f t="shared" si="25"/>
        <v>7.3</v>
      </c>
      <c r="I369" s="21">
        <f t="shared" si="26"/>
        <v>10</v>
      </c>
      <c r="J369" s="21">
        <f t="shared" si="27"/>
        <v>6.76</v>
      </c>
      <c r="K369" s="21">
        <f t="shared" si="28"/>
        <v>6.7554576406969762</v>
      </c>
      <c r="L369" s="21">
        <f t="shared" si="29"/>
        <v>10</v>
      </c>
    </row>
    <row r="370" spans="1:12" ht="15" customHeight="1" x14ac:dyDescent="0.35">
      <c r="A370" s="11">
        <v>368</v>
      </c>
      <c r="B370" s="8" t="str">
        <f>'Data Mentah'!D370</f>
        <v>Junior Business Analyst</v>
      </c>
      <c r="C370" s="22">
        <f>'Data Mentah'!A370</f>
        <v>33</v>
      </c>
      <c r="D370" s="11" t="str">
        <f>'Data Mentah'!B370</f>
        <v>Male</v>
      </c>
      <c r="E370" s="11" t="str">
        <f>'Data Mentah'!C370</f>
        <v>Bachelor's</v>
      </c>
      <c r="F370" s="23">
        <f>'Data Mentah'!E370</f>
        <v>4</v>
      </c>
      <c r="G370" s="24">
        <f>'Data Mentah'!F370</f>
        <v>60000</v>
      </c>
      <c r="H370" s="25">
        <f t="shared" si="25"/>
        <v>4</v>
      </c>
      <c r="I370" s="25">
        <f t="shared" si="26"/>
        <v>1</v>
      </c>
      <c r="J370" s="25">
        <f t="shared" si="27"/>
        <v>2.44</v>
      </c>
      <c r="K370" s="25">
        <f t="shared" si="28"/>
        <v>3.1504105748047264</v>
      </c>
      <c r="L370" s="25">
        <f t="shared" si="29"/>
        <v>1</v>
      </c>
    </row>
    <row r="371" spans="1:12" ht="15" customHeight="1" x14ac:dyDescent="0.35">
      <c r="A371" s="14">
        <v>369</v>
      </c>
      <c r="B371" s="17" t="str">
        <f>'Data Mentah'!D371</f>
        <v>Senior Marketing Analyst</v>
      </c>
      <c r="C371" s="18">
        <f>'Data Mentah'!A371</f>
        <v>35</v>
      </c>
      <c r="D371" s="14" t="str">
        <f>'Data Mentah'!B371</f>
        <v>Female</v>
      </c>
      <c r="E371" s="14" t="str">
        <f>'Data Mentah'!C371</f>
        <v>Bachelor's</v>
      </c>
      <c r="F371" s="19">
        <f>'Data Mentah'!E371</f>
        <v>8</v>
      </c>
      <c r="G371" s="20">
        <f>'Data Mentah'!F371</f>
        <v>85000</v>
      </c>
      <c r="H371" s="21">
        <f t="shared" si="25"/>
        <v>4.5999999999999996</v>
      </c>
      <c r="I371" s="21">
        <f t="shared" si="26"/>
        <v>1</v>
      </c>
      <c r="J371" s="21">
        <f t="shared" si="27"/>
        <v>3.88</v>
      </c>
      <c r="K371" s="21">
        <f t="shared" si="28"/>
        <v>4.0516723412777891</v>
      </c>
      <c r="L371" s="21">
        <f t="shared" si="29"/>
        <v>10</v>
      </c>
    </row>
    <row r="372" spans="1:12" ht="15" customHeight="1" x14ac:dyDescent="0.35">
      <c r="A372" s="11">
        <v>370</v>
      </c>
      <c r="B372" s="8" t="str">
        <f>'Data Mentah'!D372</f>
        <v>Director of Operations</v>
      </c>
      <c r="C372" s="22">
        <f>'Data Mentah'!A372</f>
        <v>43</v>
      </c>
      <c r="D372" s="11" t="str">
        <f>'Data Mentah'!B372</f>
        <v>Male</v>
      </c>
      <c r="E372" s="11" t="str">
        <f>'Data Mentah'!C372</f>
        <v>Master's</v>
      </c>
      <c r="F372" s="23">
        <f>'Data Mentah'!E372</f>
        <v>19</v>
      </c>
      <c r="G372" s="24">
        <f>'Data Mentah'!F372</f>
        <v>170000</v>
      </c>
      <c r="H372" s="25">
        <f t="shared" si="25"/>
        <v>7</v>
      </c>
      <c r="I372" s="25">
        <f t="shared" si="26"/>
        <v>5.5</v>
      </c>
      <c r="J372" s="25">
        <f t="shared" si="27"/>
        <v>7.84</v>
      </c>
      <c r="K372" s="25">
        <f t="shared" si="28"/>
        <v>7.1159623472862004</v>
      </c>
      <c r="L372" s="25">
        <f t="shared" si="29"/>
        <v>1</v>
      </c>
    </row>
    <row r="373" spans="1:12" ht="15" customHeight="1" x14ac:dyDescent="0.35">
      <c r="A373" s="14">
        <v>371</v>
      </c>
      <c r="B373" s="17" t="str">
        <f>'Data Mentah'!D373</f>
        <v>Junior Project Manager</v>
      </c>
      <c r="C373" s="18">
        <f>'Data Mentah'!A373</f>
        <v>29</v>
      </c>
      <c r="D373" s="14" t="str">
        <f>'Data Mentah'!B373</f>
        <v>Female</v>
      </c>
      <c r="E373" s="14" t="str">
        <f>'Data Mentah'!C373</f>
        <v>Bachelor's</v>
      </c>
      <c r="F373" s="19">
        <f>'Data Mentah'!E373</f>
        <v>2</v>
      </c>
      <c r="G373" s="20">
        <f>'Data Mentah'!F373</f>
        <v>40000</v>
      </c>
      <c r="H373" s="21">
        <f t="shared" si="25"/>
        <v>2.8</v>
      </c>
      <c r="I373" s="21">
        <f t="shared" si="26"/>
        <v>1</v>
      </c>
      <c r="J373" s="21">
        <f t="shared" si="27"/>
        <v>1.72</v>
      </c>
      <c r="K373" s="21">
        <f t="shared" si="28"/>
        <v>2.4294011616262767</v>
      </c>
      <c r="L373" s="21">
        <f t="shared" si="29"/>
        <v>10</v>
      </c>
    </row>
    <row r="374" spans="1:12" ht="15" customHeight="1" x14ac:dyDescent="0.35">
      <c r="A374" s="11">
        <v>372</v>
      </c>
      <c r="B374" s="8" t="str">
        <f>'Data Mentah'!D374</f>
        <v>Senior Operations Coordinator</v>
      </c>
      <c r="C374" s="22">
        <f>'Data Mentah'!A374</f>
        <v>34</v>
      </c>
      <c r="D374" s="11" t="str">
        <f>'Data Mentah'!B374</f>
        <v>Male</v>
      </c>
      <c r="E374" s="11" t="str">
        <f>'Data Mentah'!C374</f>
        <v>Bachelor's</v>
      </c>
      <c r="F374" s="23">
        <f>'Data Mentah'!E374</f>
        <v>7</v>
      </c>
      <c r="G374" s="24">
        <f>'Data Mentah'!F374</f>
        <v>90000</v>
      </c>
      <c r="H374" s="25">
        <f t="shared" si="25"/>
        <v>4.3</v>
      </c>
      <c r="I374" s="25">
        <f t="shared" si="26"/>
        <v>1</v>
      </c>
      <c r="J374" s="25">
        <f t="shared" si="27"/>
        <v>3.52</v>
      </c>
      <c r="K374" s="25">
        <f t="shared" si="28"/>
        <v>4.2319246945724007</v>
      </c>
      <c r="L374" s="25">
        <f t="shared" si="29"/>
        <v>1</v>
      </c>
    </row>
    <row r="375" spans="1:12" ht="15" customHeight="1" x14ac:dyDescent="0.35">
      <c r="A375" s="14">
        <v>373</v>
      </c>
      <c r="B375" s="17" t="str">
        <f>'Data Mentah'!D375</f>
        <v>Senior Business Analyst</v>
      </c>
      <c r="C375" s="18">
        <f>'Data Mentah'!A375</f>
        <v>44</v>
      </c>
      <c r="D375" s="14" t="str">
        <f>'Data Mentah'!B375</f>
        <v>Female</v>
      </c>
      <c r="E375" s="14" t="str">
        <f>'Data Mentah'!C375</f>
        <v>PhD</v>
      </c>
      <c r="F375" s="19">
        <f>'Data Mentah'!E375</f>
        <v>15</v>
      </c>
      <c r="G375" s="20">
        <f>'Data Mentah'!F375</f>
        <v>150000</v>
      </c>
      <c r="H375" s="21">
        <f t="shared" si="25"/>
        <v>7.3</v>
      </c>
      <c r="I375" s="21">
        <f t="shared" si="26"/>
        <v>10</v>
      </c>
      <c r="J375" s="21">
        <f t="shared" si="27"/>
        <v>6.4</v>
      </c>
      <c r="K375" s="21">
        <f t="shared" si="28"/>
        <v>6.3949529341077511</v>
      </c>
      <c r="L375" s="21">
        <f t="shared" si="29"/>
        <v>10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38" customWidth="1"/>
    <col min="3" max="9" width="12" customWidth="1"/>
    <col min="10" max="10" width="8" customWidth="1"/>
  </cols>
  <sheetData>
    <row r="1" spans="1:10" ht="25.5" customHeight="1" x14ac:dyDescent="0.35">
      <c r="A1" s="2" t="s">
        <v>211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5">
      <c r="A2" s="7" t="s">
        <v>204</v>
      </c>
      <c r="B2" s="7" t="s">
        <v>21</v>
      </c>
      <c r="C2" s="7" t="s">
        <v>206</v>
      </c>
      <c r="D2" s="7" t="s">
        <v>207</v>
      </c>
      <c r="E2" s="7" t="s">
        <v>208</v>
      </c>
      <c r="F2" s="7" t="s">
        <v>209</v>
      </c>
      <c r="G2" s="7" t="s">
        <v>210</v>
      </c>
      <c r="H2" s="7" t="s">
        <v>212</v>
      </c>
      <c r="I2" s="7" t="s">
        <v>213</v>
      </c>
      <c r="J2" s="7" t="s">
        <v>214</v>
      </c>
    </row>
    <row r="3" spans="1:10" ht="15" customHeight="1" x14ac:dyDescent="0.35">
      <c r="A3" s="14">
        <v>1</v>
      </c>
      <c r="B3" s="17" t="str">
        <f>Normalisasi!B3</f>
        <v>Software Engineer</v>
      </c>
      <c r="C3" s="21">
        <f>Normalisasi!H3</f>
        <v>3.7</v>
      </c>
      <c r="D3" s="21">
        <f>Normalisasi!I3</f>
        <v>1</v>
      </c>
      <c r="E3" s="21">
        <f>Normalisasi!J3</f>
        <v>2.8</v>
      </c>
      <c r="F3" s="21">
        <f>Normalisasi!K3</f>
        <v>4.2319246945724007</v>
      </c>
      <c r="G3" s="21">
        <f>Normalisasi!L3</f>
        <v>1</v>
      </c>
      <c r="H3" s="26">
        <f>MAX(C3,0.000000001)^'Asumsi &amp; Bobot'!$E$6*MAX(D3,0.000000001)^'Asumsi &amp; Bobot'!$E$7*MAX(E3,0.000000001)^'Asumsi &amp; Bobot'!$E$8*MAX(F3,0.000000001)^'Asumsi &amp; Bobot'!$E$9*MAX(G3,0.000000001)^'Asumsi &amp; Bobot'!$E$10</f>
        <v>1.5106179159409936</v>
      </c>
      <c r="I3" s="26">
        <f t="shared" ref="I3:I66" si="0">H3/SUM($H$3:$H$375)</f>
        <v>1.5607645457112404E-3</v>
      </c>
      <c r="J3" s="18">
        <f t="shared" ref="J3:J66" si="1">RANK(I3,$I$3:$I$375,0)</f>
        <v>317</v>
      </c>
    </row>
    <row r="4" spans="1:10" ht="15" customHeight="1" x14ac:dyDescent="0.35">
      <c r="A4" s="11">
        <v>2</v>
      </c>
      <c r="B4" s="8" t="str">
        <f>Normalisasi!B4</f>
        <v>Data Analyst</v>
      </c>
      <c r="C4" s="25">
        <f>Normalisasi!H4</f>
        <v>2.5</v>
      </c>
      <c r="D4" s="25">
        <f>Normalisasi!I4</f>
        <v>5.5</v>
      </c>
      <c r="E4" s="25">
        <f>Normalisasi!J4</f>
        <v>2.08</v>
      </c>
      <c r="F4" s="25">
        <f>Normalisasi!K4</f>
        <v>3.3306629280993389</v>
      </c>
      <c r="G4" s="25">
        <f>Normalisasi!L4</f>
        <v>10</v>
      </c>
      <c r="H4" s="27">
        <f>MAX(C4,0.000000001)^'Asumsi &amp; Bobot'!$E$6*MAX(D4,0.000000001)^'Asumsi &amp; Bobot'!$E$7*MAX(E4,0.000000001)^'Asumsi &amp; Bobot'!$E$8*MAX(F4,0.000000001)^'Asumsi &amp; Bobot'!$E$9*MAX(G4,0.000000001)^'Asumsi &amp; Bobot'!$E$10</f>
        <v>2.3990266522224291</v>
      </c>
      <c r="I4" s="27">
        <f t="shared" si="0"/>
        <v>2.4786649909899218E-3</v>
      </c>
      <c r="J4" s="22">
        <f t="shared" si="1"/>
        <v>159</v>
      </c>
    </row>
    <row r="5" spans="1:10" ht="15" customHeight="1" x14ac:dyDescent="0.35">
      <c r="A5" s="14">
        <v>3</v>
      </c>
      <c r="B5" s="17" t="str">
        <f>Normalisasi!B5</f>
        <v>Senior Manager</v>
      </c>
      <c r="C5" s="21">
        <f>Normalisasi!H5</f>
        <v>7.6</v>
      </c>
      <c r="D5" s="21">
        <f>Normalisasi!I5</f>
        <v>10</v>
      </c>
      <c r="E5" s="21">
        <f>Normalisasi!J5</f>
        <v>6.4</v>
      </c>
      <c r="F5" s="21">
        <f>Normalisasi!K5</f>
        <v>6.3949529341077511</v>
      </c>
      <c r="G5" s="21">
        <f>Normalisasi!L5</f>
        <v>1</v>
      </c>
      <c r="H5" s="26">
        <f>MAX(C5,0.000000001)^'Asumsi &amp; Bobot'!$E$6*MAX(D5,0.000000001)^'Asumsi &amp; Bobot'!$E$7*MAX(E5,0.000000001)^'Asumsi &amp; Bobot'!$E$8*MAX(F5,0.000000001)^'Asumsi &amp; Bobot'!$E$9*MAX(G5,0.000000001)^'Asumsi &amp; Bobot'!$E$10</f>
        <v>4.0189357456147778</v>
      </c>
      <c r="I5" s="26">
        <f t="shared" si="0"/>
        <v>4.1523487554692351E-3</v>
      </c>
      <c r="J5" s="18">
        <f t="shared" si="1"/>
        <v>62</v>
      </c>
    </row>
    <row r="6" spans="1:10" ht="15" customHeight="1" x14ac:dyDescent="0.35">
      <c r="A6" s="11">
        <v>4</v>
      </c>
      <c r="B6" s="8" t="str">
        <f>Normalisasi!B6</f>
        <v>Sales Associate</v>
      </c>
      <c r="C6" s="25">
        <f>Normalisasi!H6</f>
        <v>4.9000000000000004</v>
      </c>
      <c r="D6" s="25">
        <f>Normalisasi!I6</f>
        <v>1</v>
      </c>
      <c r="E6" s="25">
        <f>Normalisasi!J6</f>
        <v>3.52</v>
      </c>
      <c r="F6" s="25">
        <f>Normalisasi!K6</f>
        <v>3.1504105748047264</v>
      </c>
      <c r="G6" s="25">
        <f>Normalisasi!L6</f>
        <v>10</v>
      </c>
      <c r="H6" s="27">
        <f>MAX(C6,0.000000001)^'Asumsi &amp; Bobot'!$E$6*MAX(D6,0.000000001)^'Asumsi &amp; Bobot'!$E$7*MAX(E6,0.000000001)^'Asumsi &amp; Bobot'!$E$8*MAX(F6,0.000000001)^'Asumsi &amp; Bobot'!$E$9*MAX(G6,0.000000001)^'Asumsi &amp; Bobot'!$E$10</f>
        <v>2.0914034316493333</v>
      </c>
      <c r="I6" s="27">
        <f t="shared" si="0"/>
        <v>2.1608298779269897E-3</v>
      </c>
      <c r="J6" s="22">
        <f t="shared" si="1"/>
        <v>203</v>
      </c>
    </row>
    <row r="7" spans="1:10" ht="15" customHeight="1" x14ac:dyDescent="0.35">
      <c r="A7" s="14">
        <v>5</v>
      </c>
      <c r="B7" s="17" t="str">
        <f>Normalisasi!B7</f>
        <v>Director</v>
      </c>
      <c r="C7" s="21">
        <f>Normalisasi!H7</f>
        <v>9.6999999999999993</v>
      </c>
      <c r="D7" s="21">
        <f>Normalisasi!I7</f>
        <v>5.5</v>
      </c>
      <c r="E7" s="21">
        <f>Normalisasi!J7</f>
        <v>8.1999999999999993</v>
      </c>
      <c r="F7" s="21">
        <f>Normalisasi!K7</f>
        <v>8.1974764670538747</v>
      </c>
      <c r="G7" s="21">
        <f>Normalisasi!L7</f>
        <v>1</v>
      </c>
      <c r="H7" s="26">
        <f>MAX(C7,0.000000001)^'Asumsi &amp; Bobot'!$E$6*MAX(D7,0.000000001)^'Asumsi &amp; Bobot'!$E$7*MAX(E7,0.000000001)^'Asumsi &amp; Bobot'!$E$8*MAX(F7,0.000000001)^'Asumsi &amp; Bobot'!$E$9*MAX(G7,0.000000001)^'Asumsi &amp; Bobot'!$E$10</f>
        <v>3.7806370931487479</v>
      </c>
      <c r="I7" s="26">
        <f t="shared" si="0"/>
        <v>3.9061395161010771E-3</v>
      </c>
      <c r="J7" s="18">
        <f t="shared" si="1"/>
        <v>80</v>
      </c>
    </row>
    <row r="8" spans="1:10" ht="15" customHeight="1" x14ac:dyDescent="0.35">
      <c r="A8" s="11">
        <v>6</v>
      </c>
      <c r="B8" s="8" t="str">
        <f>Normalisasi!B8</f>
        <v>Marketing Analyst</v>
      </c>
      <c r="C8" s="25">
        <f>Normalisasi!H8</f>
        <v>2.8</v>
      </c>
      <c r="D8" s="25">
        <f>Normalisasi!I8</f>
        <v>1</v>
      </c>
      <c r="E8" s="25">
        <f>Normalisasi!J8</f>
        <v>1.72</v>
      </c>
      <c r="F8" s="25">
        <f>Normalisasi!K8</f>
        <v>2.9701582215101139</v>
      </c>
      <c r="G8" s="25">
        <f>Normalisasi!L8</f>
        <v>1</v>
      </c>
      <c r="H8" s="27">
        <f>MAX(C8,0.000000001)^'Asumsi &amp; Bobot'!$E$6*MAX(D8,0.000000001)^'Asumsi &amp; Bobot'!$E$7*MAX(E8,0.000000001)^'Asumsi &amp; Bobot'!$E$8*MAX(F8,0.000000001)^'Asumsi &amp; Bobot'!$E$9*MAX(G8,0.000000001)^'Asumsi &amp; Bobot'!$E$10</f>
        <v>1.2732210512645732</v>
      </c>
      <c r="I8" s="27">
        <f t="shared" si="0"/>
        <v>1.3154870299741379E-3</v>
      </c>
      <c r="J8" s="22">
        <f t="shared" si="1"/>
        <v>356</v>
      </c>
    </row>
    <row r="9" spans="1:10" ht="15" customHeight="1" x14ac:dyDescent="0.35">
      <c r="A9" s="14">
        <v>7</v>
      </c>
      <c r="B9" s="17" t="str">
        <f>Normalisasi!B9</f>
        <v>Product Manager</v>
      </c>
      <c r="C9" s="21">
        <f>Normalisasi!H9</f>
        <v>6.7</v>
      </c>
      <c r="D9" s="21">
        <f>Normalisasi!I9</f>
        <v>5.5</v>
      </c>
      <c r="E9" s="21">
        <f>Normalisasi!J9</f>
        <v>5.32</v>
      </c>
      <c r="F9" s="21">
        <f>Normalisasi!K9</f>
        <v>5.3134388143400759</v>
      </c>
      <c r="G9" s="21">
        <f>Normalisasi!L9</f>
        <v>10</v>
      </c>
      <c r="H9" s="26">
        <f>MAX(C9,0.000000001)^'Asumsi &amp; Bobot'!$E$6*MAX(D9,0.000000001)^'Asumsi &amp; Bobot'!$E$7*MAX(E9,0.000000001)^'Asumsi &amp; Bobot'!$E$8*MAX(F9,0.000000001)^'Asumsi &amp; Bobot'!$E$9*MAX(G9,0.000000001)^'Asumsi &amp; Bobot'!$E$10</f>
        <v>3.7546154592273853</v>
      </c>
      <c r="I9" s="26">
        <f t="shared" si="0"/>
        <v>3.8792540653081538E-3</v>
      </c>
      <c r="J9" s="18">
        <f t="shared" si="1"/>
        <v>84</v>
      </c>
    </row>
    <row r="10" spans="1:10" ht="15" customHeight="1" x14ac:dyDescent="0.35">
      <c r="A10" s="11">
        <v>8</v>
      </c>
      <c r="B10" s="8" t="str">
        <f>Normalisasi!B10</f>
        <v>Sales Manager</v>
      </c>
      <c r="C10" s="25">
        <f>Normalisasi!H10</f>
        <v>3.4</v>
      </c>
      <c r="D10" s="25">
        <f>Normalisasi!I10</f>
        <v>1</v>
      </c>
      <c r="E10" s="25">
        <f>Normalisasi!J10</f>
        <v>2.44</v>
      </c>
      <c r="F10" s="25">
        <f>Normalisasi!K10</f>
        <v>3.8714199879831765</v>
      </c>
      <c r="G10" s="25">
        <f>Normalisasi!L10</f>
        <v>1</v>
      </c>
      <c r="H10" s="27">
        <f>MAX(C10,0.000000001)^'Asumsi &amp; Bobot'!$E$6*MAX(D10,0.000000001)^'Asumsi &amp; Bobot'!$E$7*MAX(E10,0.000000001)^'Asumsi &amp; Bobot'!$E$8*MAX(F10,0.000000001)^'Asumsi &amp; Bobot'!$E$9*MAX(G10,0.000000001)^'Asumsi &amp; Bobot'!$E$10</f>
        <v>1.4356316374906666</v>
      </c>
      <c r="I10" s="27">
        <f t="shared" si="0"/>
        <v>1.4832890149466015E-3</v>
      </c>
      <c r="J10" s="22">
        <f t="shared" si="1"/>
        <v>328</v>
      </c>
    </row>
    <row r="11" spans="1:10" ht="15" customHeight="1" x14ac:dyDescent="0.35">
      <c r="A11" s="14">
        <v>9</v>
      </c>
      <c r="B11" s="17" t="str">
        <f>Normalisasi!B11</f>
        <v>Marketing Coordinator</v>
      </c>
      <c r="C11" s="21">
        <f>Normalisasi!H11</f>
        <v>1.9</v>
      </c>
      <c r="D11" s="21">
        <f>Normalisasi!I11</f>
        <v>1</v>
      </c>
      <c r="E11" s="21">
        <f>Normalisasi!J11</f>
        <v>1.3599999999999999</v>
      </c>
      <c r="F11" s="21">
        <f>Normalisasi!K11</f>
        <v>2.6096535149208893</v>
      </c>
      <c r="G11" s="21">
        <f>Normalisasi!L11</f>
        <v>10</v>
      </c>
      <c r="H11" s="26">
        <f>MAX(C11,0.000000001)^'Asumsi &amp; Bobot'!$E$6*MAX(D11,0.000000001)^'Asumsi &amp; Bobot'!$E$7*MAX(E11,0.000000001)^'Asumsi &amp; Bobot'!$E$8*MAX(F11,0.000000001)^'Asumsi &amp; Bobot'!$E$9*MAX(G11,0.000000001)^'Asumsi &amp; Bobot'!$E$10</f>
        <v>1.2923673463318164</v>
      </c>
      <c r="I11" s="26">
        <f t="shared" si="0"/>
        <v>1.3352689074478104E-3</v>
      </c>
      <c r="J11" s="18">
        <f t="shared" si="1"/>
        <v>346</v>
      </c>
    </row>
    <row r="12" spans="1:10" ht="15" customHeight="1" x14ac:dyDescent="0.35">
      <c r="A12" s="11">
        <v>10</v>
      </c>
      <c r="B12" s="8" t="str">
        <f>Normalisasi!B12</f>
        <v>Senior Scientist</v>
      </c>
      <c r="C12" s="25">
        <f>Normalisasi!H12</f>
        <v>5.5</v>
      </c>
      <c r="D12" s="25">
        <f>Normalisasi!I12</f>
        <v>10</v>
      </c>
      <c r="E12" s="25">
        <f>Normalisasi!J12</f>
        <v>4.5999999999999996</v>
      </c>
      <c r="F12" s="25">
        <f>Normalisasi!K12</f>
        <v>4.9529341077508509</v>
      </c>
      <c r="G12" s="25">
        <f>Normalisasi!L12</f>
        <v>1</v>
      </c>
      <c r="H12" s="27">
        <f>MAX(C12,0.000000001)^'Asumsi &amp; Bobot'!$E$6*MAX(D12,0.000000001)^'Asumsi &amp; Bobot'!$E$7*MAX(E12,0.000000001)^'Asumsi &amp; Bobot'!$E$8*MAX(F12,0.000000001)^'Asumsi &amp; Bobot'!$E$9*MAX(G12,0.000000001)^'Asumsi &amp; Bobot'!$E$10</f>
        <v>3.4914846878456465</v>
      </c>
      <c r="I12" s="27">
        <f t="shared" si="0"/>
        <v>3.6073883774168222E-3</v>
      </c>
      <c r="J12" s="22">
        <f t="shared" si="1"/>
        <v>109</v>
      </c>
    </row>
    <row r="13" spans="1:10" ht="15" customHeight="1" x14ac:dyDescent="0.35">
      <c r="A13" s="14">
        <v>11</v>
      </c>
      <c r="B13" s="17" t="str">
        <f>Normalisasi!B13</f>
        <v>Software Developer</v>
      </c>
      <c r="C13" s="21">
        <f>Normalisasi!H13</f>
        <v>2.8</v>
      </c>
      <c r="D13" s="21">
        <f>Normalisasi!I13</f>
        <v>5.5</v>
      </c>
      <c r="E13" s="21">
        <f>Normalisasi!J13</f>
        <v>2.08</v>
      </c>
      <c r="F13" s="21">
        <f>Normalisasi!K13</f>
        <v>3.691167634688564</v>
      </c>
      <c r="G13" s="21">
        <f>Normalisasi!L13</f>
        <v>1</v>
      </c>
      <c r="H13" s="26">
        <f>MAX(C13,0.000000001)^'Asumsi &amp; Bobot'!$E$6*MAX(D13,0.000000001)^'Asumsi &amp; Bobot'!$E$7*MAX(E13,0.000000001)^'Asumsi &amp; Bobot'!$E$8*MAX(F13,0.000000001)^'Asumsi &amp; Bobot'!$E$9*MAX(G13,0.000000001)^'Asumsi &amp; Bobot'!$E$10</f>
        <v>2.076160540405914</v>
      </c>
      <c r="I13" s="26">
        <f t="shared" si="0"/>
        <v>2.1450809820772795E-3</v>
      </c>
      <c r="J13" s="18">
        <f t="shared" si="1"/>
        <v>205</v>
      </c>
    </row>
    <row r="14" spans="1:10" ht="15" customHeight="1" x14ac:dyDescent="0.35">
      <c r="A14" s="11">
        <v>12</v>
      </c>
      <c r="B14" s="8" t="str">
        <f>Normalisasi!B14</f>
        <v>HR Manager</v>
      </c>
      <c r="C14" s="25">
        <f>Normalisasi!H14</f>
        <v>8.5</v>
      </c>
      <c r="D14" s="25">
        <f>Normalisasi!I14</f>
        <v>1</v>
      </c>
      <c r="E14" s="25">
        <f>Normalisasi!J14</f>
        <v>7.48</v>
      </c>
      <c r="F14" s="25">
        <f>Normalisasi!K14</f>
        <v>6.0344482275185261</v>
      </c>
      <c r="G14" s="25">
        <f>Normalisasi!L14</f>
        <v>10</v>
      </c>
      <c r="H14" s="27">
        <f>MAX(C14,0.000000001)^'Asumsi &amp; Bobot'!$E$6*MAX(D14,0.000000001)^'Asumsi &amp; Bobot'!$E$7*MAX(E14,0.000000001)^'Asumsi &amp; Bobot'!$E$8*MAX(F14,0.000000001)^'Asumsi &amp; Bobot'!$E$9*MAX(G14,0.000000001)^'Asumsi &amp; Bobot'!$E$10</f>
        <v>2.7527449569654925</v>
      </c>
      <c r="I14" s="27">
        <f t="shared" si="0"/>
        <v>2.8441253654408376E-3</v>
      </c>
      <c r="J14" s="22">
        <f t="shared" si="1"/>
        <v>136</v>
      </c>
    </row>
    <row r="15" spans="1:10" ht="15" customHeight="1" x14ac:dyDescent="0.35">
      <c r="A15" s="14">
        <v>13</v>
      </c>
      <c r="B15" s="17" t="str">
        <f>Normalisasi!B15</f>
        <v>Financial Analyst</v>
      </c>
      <c r="C15" s="21">
        <f>Normalisasi!H15</f>
        <v>4.5999999999999996</v>
      </c>
      <c r="D15" s="21">
        <f>Normalisasi!I15</f>
        <v>1</v>
      </c>
      <c r="E15" s="21">
        <f>Normalisasi!J15</f>
        <v>3.16</v>
      </c>
      <c r="F15" s="21">
        <f>Normalisasi!K15</f>
        <v>3.3306629280993389</v>
      </c>
      <c r="G15" s="21">
        <f>Normalisasi!L15</f>
        <v>1</v>
      </c>
      <c r="H15" s="26">
        <f>MAX(C15,0.000000001)^'Asumsi &amp; Bobot'!$E$6*MAX(D15,0.000000001)^'Asumsi &amp; Bobot'!$E$7*MAX(E15,0.000000001)^'Asumsi &amp; Bobot'!$E$8*MAX(F15,0.000000001)^'Asumsi &amp; Bobot'!$E$9*MAX(G15,0.000000001)^'Asumsi &amp; Bobot'!$E$10</f>
        <v>1.6960676451286609</v>
      </c>
      <c r="I15" s="26">
        <f t="shared" si="0"/>
        <v>1.75237048343611E-3</v>
      </c>
      <c r="J15" s="18">
        <f t="shared" si="1"/>
        <v>270</v>
      </c>
    </row>
    <row r="16" spans="1:10" ht="15" customHeight="1" x14ac:dyDescent="0.35">
      <c r="A16" s="11">
        <v>14</v>
      </c>
      <c r="B16" s="8" t="str">
        <f>Normalisasi!B16</f>
        <v>Project Manager</v>
      </c>
      <c r="C16" s="25">
        <f>Normalisasi!H16</f>
        <v>6.1</v>
      </c>
      <c r="D16" s="25">
        <f>Normalisasi!I16</f>
        <v>5.5</v>
      </c>
      <c r="E16" s="25">
        <f>Normalisasi!J16</f>
        <v>6.04</v>
      </c>
      <c r="F16" s="25">
        <f>Normalisasi!K16</f>
        <v>5.673943520929301</v>
      </c>
      <c r="G16" s="25">
        <f>Normalisasi!L16</f>
        <v>10</v>
      </c>
      <c r="H16" s="27">
        <f>MAX(C16,0.000000001)^'Asumsi &amp; Bobot'!$E$6*MAX(D16,0.000000001)^'Asumsi &amp; Bobot'!$E$7*MAX(E16,0.000000001)^'Asumsi &amp; Bobot'!$E$8*MAX(F16,0.000000001)^'Asumsi &amp; Bobot'!$E$9*MAX(G16,0.000000001)^'Asumsi &amp; Bobot'!$E$10</f>
        <v>3.810573380447698</v>
      </c>
      <c r="I16" s="27">
        <f t="shared" si="0"/>
        <v>3.9370695715130848E-3</v>
      </c>
      <c r="J16" s="22">
        <f t="shared" si="1"/>
        <v>75</v>
      </c>
    </row>
    <row r="17" spans="1:10" ht="15" customHeight="1" x14ac:dyDescent="0.35">
      <c r="A17" s="14">
        <v>15</v>
      </c>
      <c r="B17" s="17" t="str">
        <f>Normalisasi!B17</f>
        <v>Customer Service Rep</v>
      </c>
      <c r="C17" s="21">
        <f>Normalisasi!H17</f>
        <v>2.2000000000000002</v>
      </c>
      <c r="D17" s="21">
        <f>Normalisasi!I17</f>
        <v>1</v>
      </c>
      <c r="E17" s="21">
        <f>Normalisasi!J17</f>
        <v>1.72</v>
      </c>
      <c r="F17" s="21">
        <f>Normalisasi!K17</f>
        <v>2.4294011616262767</v>
      </c>
      <c r="G17" s="21">
        <f>Normalisasi!L17</f>
        <v>1</v>
      </c>
      <c r="H17" s="26">
        <f>MAX(C17,0.000000001)^'Asumsi &amp; Bobot'!$E$6*MAX(D17,0.000000001)^'Asumsi &amp; Bobot'!$E$7*MAX(E17,0.000000001)^'Asumsi &amp; Bobot'!$E$8*MAX(F17,0.000000001)^'Asumsi &amp; Bobot'!$E$9*MAX(G17,0.000000001)^'Asumsi &amp; Bobot'!$E$10</f>
        <v>1.2462182889853002</v>
      </c>
      <c r="I17" s="26">
        <f t="shared" si="0"/>
        <v>1.2875878811840844E-3</v>
      </c>
      <c r="J17" s="18">
        <f t="shared" si="1"/>
        <v>358</v>
      </c>
    </row>
    <row r="18" spans="1:10" ht="15" customHeight="1" x14ac:dyDescent="0.35">
      <c r="A18" s="11">
        <v>16</v>
      </c>
      <c r="B18" s="8" t="str">
        <f>Normalisasi!B18</f>
        <v>Operations Manager</v>
      </c>
      <c r="C18" s="25">
        <f>Normalisasi!H18</f>
        <v>7.3</v>
      </c>
      <c r="D18" s="25">
        <f>Normalisasi!I18</f>
        <v>1</v>
      </c>
      <c r="E18" s="25">
        <f>Normalisasi!J18</f>
        <v>6.76</v>
      </c>
      <c r="F18" s="25">
        <f>Normalisasi!K18</f>
        <v>5.4936911676346885</v>
      </c>
      <c r="G18" s="25">
        <f>Normalisasi!L18</f>
        <v>1</v>
      </c>
      <c r="H18" s="27">
        <f>MAX(C18,0.000000001)^'Asumsi &amp; Bobot'!$E$6*MAX(D18,0.000000001)^'Asumsi &amp; Bobot'!$E$7*MAX(E18,0.000000001)^'Asumsi &amp; Bobot'!$E$8*MAX(F18,0.000000001)^'Asumsi &amp; Bobot'!$E$9*MAX(G18,0.000000001)^'Asumsi &amp; Bobot'!$E$10</f>
        <v>2.2421512471519347</v>
      </c>
      <c r="I18" s="27">
        <f t="shared" si="0"/>
        <v>2.3165819336235607E-3</v>
      </c>
      <c r="J18" s="22">
        <f t="shared" si="1"/>
        <v>177</v>
      </c>
    </row>
    <row r="19" spans="1:10" ht="15" customHeight="1" x14ac:dyDescent="0.35">
      <c r="A19" s="14">
        <v>17</v>
      </c>
      <c r="B19" s="17" t="str">
        <f>Normalisasi!B19</f>
        <v>Marketing Manager</v>
      </c>
      <c r="C19" s="21">
        <f>Normalisasi!H19</f>
        <v>4</v>
      </c>
      <c r="D19" s="21">
        <f>Normalisasi!I19</f>
        <v>5.5</v>
      </c>
      <c r="E19" s="21">
        <f>Normalisasi!J19</f>
        <v>3.52</v>
      </c>
      <c r="F19" s="21">
        <f>Normalisasi!K19</f>
        <v>4.2319246945724007</v>
      </c>
      <c r="G19" s="21">
        <f>Normalisasi!L19</f>
        <v>10</v>
      </c>
      <c r="H19" s="26">
        <f>MAX(C19,0.000000001)^'Asumsi &amp; Bobot'!$E$6*MAX(D19,0.000000001)^'Asumsi &amp; Bobot'!$E$7*MAX(E19,0.000000001)^'Asumsi &amp; Bobot'!$E$8*MAX(F19,0.000000001)^'Asumsi &amp; Bobot'!$E$9*MAX(G19,0.000000001)^'Asumsi &amp; Bobot'!$E$10</f>
        <v>3.0419439842317648</v>
      </c>
      <c r="I19" s="26">
        <f t="shared" si="0"/>
        <v>3.1429246737558116E-3</v>
      </c>
      <c r="J19" s="18">
        <f t="shared" si="1"/>
        <v>117</v>
      </c>
    </row>
    <row r="20" spans="1:10" ht="15" customHeight="1" x14ac:dyDescent="0.35">
      <c r="A20" s="11">
        <v>18</v>
      </c>
      <c r="B20" s="8" t="str">
        <f>Normalisasi!B20</f>
        <v>Senior Engineer</v>
      </c>
      <c r="C20" s="25">
        <f>Normalisasi!H20</f>
        <v>5.8</v>
      </c>
      <c r="D20" s="25">
        <f>Normalisasi!I20</f>
        <v>10</v>
      </c>
      <c r="E20" s="25">
        <f>Normalisasi!J20</f>
        <v>5.32</v>
      </c>
      <c r="F20" s="25">
        <f>Normalisasi!K20</f>
        <v>5.1331864610454634</v>
      </c>
      <c r="G20" s="25">
        <f>Normalisasi!L20</f>
        <v>1</v>
      </c>
      <c r="H20" s="27">
        <f>MAX(C20,0.000000001)^'Asumsi &amp; Bobot'!$E$6*MAX(D20,0.000000001)^'Asumsi &amp; Bobot'!$E$7*MAX(E20,0.000000001)^'Asumsi &amp; Bobot'!$E$8*MAX(F20,0.000000001)^'Asumsi &amp; Bobot'!$E$9*MAX(G20,0.000000001)^'Asumsi &amp; Bobot'!$E$10</f>
        <v>3.6864176560539392</v>
      </c>
      <c r="I20" s="27">
        <f t="shared" si="0"/>
        <v>3.8087923607531644E-3</v>
      </c>
      <c r="J20" s="22">
        <f t="shared" si="1"/>
        <v>90</v>
      </c>
    </row>
    <row r="21" spans="1:10" ht="15" customHeight="1" x14ac:dyDescent="0.35">
      <c r="A21" s="14">
        <v>19</v>
      </c>
      <c r="B21" s="17" t="str">
        <f>Normalisasi!B21</f>
        <v>Data Entry Clerk</v>
      </c>
      <c r="C21" s="21">
        <f>Normalisasi!H21</f>
        <v>1.6</v>
      </c>
      <c r="D21" s="21">
        <f>Normalisasi!I21</f>
        <v>1</v>
      </c>
      <c r="E21" s="21">
        <f>Normalisasi!J21</f>
        <v>1</v>
      </c>
      <c r="F21" s="21">
        <f>Normalisasi!K21</f>
        <v>2.2491488083316646</v>
      </c>
      <c r="G21" s="21">
        <f>Normalisasi!L21</f>
        <v>10</v>
      </c>
      <c r="H21" s="26">
        <f>MAX(C21,0.000000001)^'Asumsi &amp; Bobot'!$E$6*MAX(D21,0.000000001)^'Asumsi &amp; Bobot'!$E$7*MAX(E21,0.000000001)^'Asumsi &amp; Bobot'!$E$8*MAX(F21,0.000000001)^'Asumsi &amp; Bobot'!$E$9*MAX(G21,0.000000001)^'Asumsi &amp; Bobot'!$E$10</f>
        <v>1.1496215720269689</v>
      </c>
      <c r="I21" s="26">
        <f t="shared" si="0"/>
        <v>1.187784529542546E-3</v>
      </c>
      <c r="J21" s="18">
        <f t="shared" si="1"/>
        <v>367</v>
      </c>
    </row>
    <row r="22" spans="1:10" ht="15" customHeight="1" x14ac:dyDescent="0.35">
      <c r="A22" s="11">
        <v>20</v>
      </c>
      <c r="B22" s="8" t="str">
        <f>Normalisasi!B22</f>
        <v>Sales Director</v>
      </c>
      <c r="C22" s="25">
        <f>Normalisasi!H22</f>
        <v>9.4</v>
      </c>
      <c r="D22" s="25">
        <f>Normalisasi!I22</f>
        <v>1</v>
      </c>
      <c r="E22" s="25">
        <f>Normalisasi!J22</f>
        <v>8.92</v>
      </c>
      <c r="F22" s="25">
        <f>Normalisasi!K22</f>
        <v>7.4764670538754254</v>
      </c>
      <c r="G22" s="25">
        <f>Normalisasi!L22</f>
        <v>1</v>
      </c>
      <c r="H22" s="27">
        <f>MAX(C22,0.000000001)^'Asumsi &amp; Bobot'!$E$6*MAX(D22,0.000000001)^'Asumsi &amp; Bobot'!$E$7*MAX(E22,0.000000001)^'Asumsi &amp; Bobot'!$E$8*MAX(F22,0.000000001)^'Asumsi &amp; Bobot'!$E$9*MAX(G22,0.000000001)^'Asumsi &amp; Bobot'!$E$10</f>
        <v>2.4826814482384822</v>
      </c>
      <c r="I22" s="27">
        <f t="shared" si="0"/>
        <v>2.5650968003328094E-3</v>
      </c>
      <c r="J22" s="22">
        <f t="shared" si="1"/>
        <v>147</v>
      </c>
    </row>
    <row r="23" spans="1:10" ht="15" customHeight="1" x14ac:dyDescent="0.35">
      <c r="A23" s="14">
        <v>21</v>
      </c>
      <c r="B23" s="17" t="str">
        <f>Normalisasi!B23</f>
        <v>Business Analyst</v>
      </c>
      <c r="C23" s="21">
        <f>Normalisasi!H23</f>
        <v>4.3</v>
      </c>
      <c r="D23" s="21">
        <f>Normalisasi!I23</f>
        <v>5.5</v>
      </c>
      <c r="E23" s="21">
        <f>Normalisasi!J23</f>
        <v>2.8</v>
      </c>
      <c r="F23" s="21">
        <f>Normalisasi!K23</f>
        <v>3.8714199879831765</v>
      </c>
      <c r="G23" s="21">
        <f>Normalisasi!L23</f>
        <v>10</v>
      </c>
      <c r="H23" s="26">
        <f>MAX(C23,0.000000001)^'Asumsi &amp; Bobot'!$E$6*MAX(D23,0.000000001)^'Asumsi &amp; Bobot'!$E$7*MAX(E23,0.000000001)^'Asumsi &amp; Bobot'!$E$8*MAX(F23,0.000000001)^'Asumsi &amp; Bobot'!$E$9*MAX(G23,0.000000001)^'Asumsi &amp; Bobot'!$E$10</f>
        <v>2.8937458155946976</v>
      </c>
      <c r="I23" s="26">
        <f t="shared" si="0"/>
        <v>2.9898069032678405E-3</v>
      </c>
      <c r="J23" s="18">
        <f t="shared" si="1"/>
        <v>128</v>
      </c>
    </row>
    <row r="24" spans="1:10" ht="15" customHeight="1" x14ac:dyDescent="0.35">
      <c r="A24" s="11">
        <v>22</v>
      </c>
      <c r="B24" s="8" t="str">
        <f>Normalisasi!B24</f>
        <v>VP of Operations</v>
      </c>
      <c r="C24" s="25">
        <f>Normalisasi!H24</f>
        <v>8.1999999999999993</v>
      </c>
      <c r="D24" s="25">
        <f>Normalisasi!I24</f>
        <v>5.5</v>
      </c>
      <c r="E24" s="25">
        <f>Normalisasi!J24</f>
        <v>7.84</v>
      </c>
      <c r="F24" s="25">
        <f>Normalisasi!K24</f>
        <v>7.8369717604646505</v>
      </c>
      <c r="G24" s="25">
        <f>Normalisasi!L24</f>
        <v>1</v>
      </c>
      <c r="H24" s="27">
        <f>MAX(C24,0.000000001)^'Asumsi &amp; Bobot'!$E$6*MAX(D24,0.000000001)^'Asumsi &amp; Bobot'!$E$7*MAX(E24,0.000000001)^'Asumsi &amp; Bobot'!$E$8*MAX(F24,0.000000001)^'Asumsi &amp; Bobot'!$E$9*MAX(G24,0.000000001)^'Asumsi &amp; Bobot'!$E$10</f>
        <v>3.6230840100048405</v>
      </c>
      <c r="I24" s="27">
        <f t="shared" si="0"/>
        <v>3.7433562843893521E-3</v>
      </c>
      <c r="J24" s="22">
        <f t="shared" si="1"/>
        <v>96</v>
      </c>
    </row>
    <row r="25" spans="1:10" ht="15" customHeight="1" x14ac:dyDescent="0.35">
      <c r="A25" s="14">
        <v>23</v>
      </c>
      <c r="B25" s="17" t="str">
        <f>Normalisasi!B25</f>
        <v>IT Support</v>
      </c>
      <c r="C25" s="21">
        <f>Normalisasi!H25</f>
        <v>3.1</v>
      </c>
      <c r="D25" s="21">
        <f>Normalisasi!I25</f>
        <v>1</v>
      </c>
      <c r="E25" s="21">
        <f>Normalisasi!J25</f>
        <v>1.72</v>
      </c>
      <c r="F25" s="21">
        <f>Normalisasi!K25</f>
        <v>2.7899058682155018</v>
      </c>
      <c r="G25" s="21">
        <f>Normalisasi!L25</f>
        <v>1</v>
      </c>
      <c r="H25" s="26">
        <f>MAX(C25,0.000000001)^'Asumsi &amp; Bobot'!$E$6*MAX(D25,0.000000001)^'Asumsi &amp; Bobot'!$E$7*MAX(E25,0.000000001)^'Asumsi &amp; Bobot'!$E$8*MAX(F25,0.000000001)^'Asumsi &amp; Bobot'!$E$9*MAX(G25,0.000000001)^'Asumsi &amp; Bobot'!$E$10</f>
        <v>1.3102974053139773</v>
      </c>
      <c r="I25" s="26">
        <f t="shared" si="0"/>
        <v>1.3537941745365672E-3</v>
      </c>
      <c r="J25" s="18">
        <f t="shared" si="1"/>
        <v>343</v>
      </c>
    </row>
    <row r="26" spans="1:10" ht="15" customHeight="1" x14ac:dyDescent="0.35">
      <c r="A26" s="11">
        <v>24</v>
      </c>
      <c r="B26" s="8" t="str">
        <f>Normalisasi!B26</f>
        <v>Recruiter</v>
      </c>
      <c r="C26" s="25">
        <f>Normalisasi!H26</f>
        <v>4.9000000000000004</v>
      </c>
      <c r="D26" s="25">
        <f>Normalisasi!I26</f>
        <v>1</v>
      </c>
      <c r="E26" s="25">
        <f>Normalisasi!J26</f>
        <v>4.24</v>
      </c>
      <c r="F26" s="25">
        <f>Normalisasi!K26</f>
        <v>3.1504105748047264</v>
      </c>
      <c r="G26" s="25">
        <f>Normalisasi!L26</f>
        <v>10</v>
      </c>
      <c r="H26" s="27">
        <f>MAX(C26,0.000000001)^'Asumsi &amp; Bobot'!$E$6*MAX(D26,0.000000001)^'Asumsi &amp; Bobot'!$E$7*MAX(E26,0.000000001)^'Asumsi &amp; Bobot'!$E$8*MAX(F26,0.000000001)^'Asumsi &amp; Bobot'!$E$9*MAX(G26,0.000000001)^'Asumsi &amp; Bobot'!$E$10</f>
        <v>2.225250363547449</v>
      </c>
      <c r="I26" s="27">
        <f t="shared" si="0"/>
        <v>2.2991200065255743E-3</v>
      </c>
      <c r="J26" s="22">
        <f t="shared" si="1"/>
        <v>179</v>
      </c>
    </row>
    <row r="27" spans="1:10" ht="15" customHeight="1" x14ac:dyDescent="0.35">
      <c r="A27" s="14">
        <v>25</v>
      </c>
      <c r="B27" s="17" t="str">
        <f>Normalisasi!B27</f>
        <v>Financial Manager</v>
      </c>
      <c r="C27" s="21">
        <f>Normalisasi!H27</f>
        <v>6.4</v>
      </c>
      <c r="D27" s="21">
        <f>Normalisasi!I27</f>
        <v>5.5</v>
      </c>
      <c r="E27" s="21">
        <f>Normalisasi!J27</f>
        <v>5.68</v>
      </c>
      <c r="F27" s="21">
        <f>Normalisasi!K27</f>
        <v>6.0344482275185261</v>
      </c>
      <c r="G27" s="21">
        <f>Normalisasi!L27</f>
        <v>1</v>
      </c>
      <c r="H27" s="26">
        <f>MAX(C27,0.000000001)^'Asumsi &amp; Bobot'!$E$6*MAX(D27,0.000000001)^'Asumsi &amp; Bobot'!$E$7*MAX(E27,0.000000001)^'Asumsi &amp; Bobot'!$E$8*MAX(F27,0.000000001)^'Asumsi &amp; Bobot'!$E$9*MAX(G27,0.000000001)^'Asumsi &amp; Bobot'!$E$10</f>
        <v>3.2064943707519284</v>
      </c>
      <c r="I27" s="26">
        <f t="shared" si="0"/>
        <v>3.3129374920559118E-3</v>
      </c>
      <c r="J27" s="18">
        <f t="shared" si="1"/>
        <v>116</v>
      </c>
    </row>
    <row r="28" spans="1:10" ht="15" customHeight="1" x14ac:dyDescent="0.35">
      <c r="A28" s="11">
        <v>26</v>
      </c>
      <c r="B28" s="8" t="str">
        <f>Normalisasi!B28</f>
        <v>Social Media Specialist</v>
      </c>
      <c r="C28" s="25">
        <f>Normalisasi!H28</f>
        <v>2.5</v>
      </c>
      <c r="D28" s="25">
        <f>Normalisasi!I28</f>
        <v>1</v>
      </c>
      <c r="E28" s="25">
        <f>Normalisasi!J28</f>
        <v>2.08</v>
      </c>
      <c r="F28" s="25">
        <f>Normalisasi!K28</f>
        <v>2.6096535149208893</v>
      </c>
      <c r="G28" s="25">
        <f>Normalisasi!L28</f>
        <v>10</v>
      </c>
      <c r="H28" s="27">
        <f>MAX(C28,0.000000001)^'Asumsi &amp; Bobot'!$E$6*MAX(D28,0.000000001)^'Asumsi &amp; Bobot'!$E$7*MAX(E28,0.000000001)^'Asumsi &amp; Bobot'!$E$8*MAX(F28,0.000000001)^'Asumsi &amp; Bobot'!$E$9*MAX(G28,0.000000001)^'Asumsi &amp; Bobot'!$E$10</f>
        <v>1.5730096977640704</v>
      </c>
      <c r="I28" s="27">
        <f t="shared" si="0"/>
        <v>1.6252274916260254E-3</v>
      </c>
      <c r="J28" s="22">
        <f t="shared" si="1"/>
        <v>296</v>
      </c>
    </row>
    <row r="29" spans="1:10" ht="15" customHeight="1" x14ac:dyDescent="0.35">
      <c r="A29" s="14">
        <v>27</v>
      </c>
      <c r="B29" s="17" t="str">
        <f>Normalisasi!B29</f>
        <v>Software Manager</v>
      </c>
      <c r="C29" s="21">
        <f>Normalisasi!H29</f>
        <v>5.2</v>
      </c>
      <c r="D29" s="21">
        <f>Normalisasi!I29</f>
        <v>5.5</v>
      </c>
      <c r="E29" s="21">
        <f>Normalisasi!J29</f>
        <v>4.96</v>
      </c>
      <c r="F29" s="21">
        <f>Normalisasi!K29</f>
        <v>4.9529341077508509</v>
      </c>
      <c r="G29" s="21">
        <f>Normalisasi!L29</f>
        <v>10</v>
      </c>
      <c r="H29" s="26">
        <f>MAX(C29,0.000000001)^'Asumsi &amp; Bobot'!$E$6*MAX(D29,0.000000001)^'Asumsi &amp; Bobot'!$E$7*MAX(E29,0.000000001)^'Asumsi &amp; Bobot'!$E$8*MAX(F29,0.000000001)^'Asumsi &amp; Bobot'!$E$9*MAX(G29,0.000000001)^'Asumsi &amp; Bobot'!$E$10</f>
        <v>3.5194619265772373</v>
      </c>
      <c r="I29" s="26">
        <f t="shared" si="0"/>
        <v>3.6362943514810621E-3</v>
      </c>
      <c r="J29" s="18">
        <f t="shared" si="1"/>
        <v>105</v>
      </c>
    </row>
    <row r="30" spans="1:10" ht="15" customHeight="1" x14ac:dyDescent="0.35">
      <c r="A30" s="11">
        <v>28</v>
      </c>
      <c r="B30" s="8" t="str">
        <f>Normalisasi!B30</f>
        <v>Junior Developer</v>
      </c>
      <c r="C30" s="25">
        <f>Normalisasi!H30</f>
        <v>1.3</v>
      </c>
      <c r="D30" s="25">
        <f>Normalisasi!I30</f>
        <v>1</v>
      </c>
      <c r="E30" s="25">
        <f>Normalisasi!J30</f>
        <v>1.3599999999999999</v>
      </c>
      <c r="F30" s="25">
        <f>Normalisasi!K30</f>
        <v>2.4294011616262767</v>
      </c>
      <c r="G30" s="25">
        <f>Normalisasi!L30</f>
        <v>1</v>
      </c>
      <c r="H30" s="27">
        <f>MAX(C30,0.000000001)^'Asumsi &amp; Bobot'!$E$6*MAX(D30,0.000000001)^'Asumsi &amp; Bobot'!$E$7*MAX(E30,0.000000001)^'Asumsi &amp; Bobot'!$E$8*MAX(F30,0.000000001)^'Asumsi &amp; Bobot'!$E$9*MAX(G30,0.000000001)^'Asumsi &amp; Bobot'!$E$10</f>
        <v>1.0372937041220973</v>
      </c>
      <c r="I30" s="27">
        <f t="shared" si="0"/>
        <v>1.071727814028186E-3</v>
      </c>
      <c r="J30" s="22">
        <f t="shared" si="1"/>
        <v>371</v>
      </c>
    </row>
    <row r="31" spans="1:10" ht="15" customHeight="1" x14ac:dyDescent="0.35">
      <c r="A31" s="14">
        <v>29</v>
      </c>
      <c r="B31" s="17" t="str">
        <f>Normalisasi!B31</f>
        <v>Senior Consultant</v>
      </c>
      <c r="C31" s="21">
        <f>Normalisasi!H31</f>
        <v>7</v>
      </c>
      <c r="D31" s="21">
        <f>Normalisasi!I31</f>
        <v>10</v>
      </c>
      <c r="E31" s="21">
        <f>Normalisasi!J31</f>
        <v>6.4</v>
      </c>
      <c r="F31" s="21">
        <f>Normalisasi!K31</f>
        <v>6.0344482275185261</v>
      </c>
      <c r="G31" s="21">
        <f>Normalisasi!L31</f>
        <v>10</v>
      </c>
      <c r="H31" s="26">
        <f>MAX(C31,0.000000001)^'Asumsi &amp; Bobot'!$E$6*MAX(D31,0.000000001)^'Asumsi &amp; Bobot'!$E$7*MAX(E31,0.000000001)^'Asumsi &amp; Bobot'!$E$8*MAX(F31,0.000000001)^'Asumsi &amp; Bobot'!$E$9*MAX(G31,0.000000001)^'Asumsi &amp; Bobot'!$E$10</f>
        <v>4.6450948942099597</v>
      </c>
      <c r="I31" s="26">
        <f t="shared" si="0"/>
        <v>4.7992939484178604E-3</v>
      </c>
      <c r="J31" s="18">
        <f t="shared" si="1"/>
        <v>26</v>
      </c>
    </row>
    <row r="32" spans="1:10" ht="15" customHeight="1" x14ac:dyDescent="0.35">
      <c r="A32" s="11">
        <v>30</v>
      </c>
      <c r="B32" s="8" t="str">
        <f>Normalisasi!B32</f>
        <v>Product Designer</v>
      </c>
      <c r="C32" s="25">
        <f>Normalisasi!H32</f>
        <v>4</v>
      </c>
      <c r="D32" s="25">
        <f>Normalisasi!I32</f>
        <v>5.5</v>
      </c>
      <c r="E32" s="25">
        <f>Normalisasi!J32</f>
        <v>3.16</v>
      </c>
      <c r="F32" s="25">
        <f>Normalisasi!K32</f>
        <v>4.2319246945724007</v>
      </c>
      <c r="G32" s="25">
        <f>Normalisasi!L32</f>
        <v>1</v>
      </c>
      <c r="H32" s="27">
        <f>MAX(C32,0.000000001)^'Asumsi &amp; Bobot'!$E$6*MAX(D32,0.000000001)^'Asumsi &amp; Bobot'!$E$7*MAX(E32,0.000000001)^'Asumsi &amp; Bobot'!$E$8*MAX(F32,0.000000001)^'Asumsi &amp; Bobot'!$E$9*MAX(G32,0.000000001)^'Asumsi &amp; Bobot'!$E$10</f>
        <v>2.5169003367924825</v>
      </c>
      <c r="I32" s="27">
        <f t="shared" si="0"/>
        <v>2.6004516226774514E-3</v>
      </c>
      <c r="J32" s="22">
        <f t="shared" si="1"/>
        <v>145</v>
      </c>
    </row>
    <row r="33" spans="1:10" ht="15" customHeight="1" x14ac:dyDescent="0.35">
      <c r="A33" s="14">
        <v>31</v>
      </c>
      <c r="B33" s="17" t="str">
        <f>Normalisasi!B33</f>
        <v>CEO</v>
      </c>
      <c r="C33" s="21">
        <f>Normalisasi!H33</f>
        <v>9.1</v>
      </c>
      <c r="D33" s="21">
        <f>Normalisasi!I33</f>
        <v>1</v>
      </c>
      <c r="E33" s="21">
        <f>Normalisasi!J33</f>
        <v>10</v>
      </c>
      <c r="F33" s="21">
        <f>Normalisasi!K33</f>
        <v>10</v>
      </c>
      <c r="G33" s="21">
        <f>Normalisasi!L33</f>
        <v>1</v>
      </c>
      <c r="H33" s="26">
        <f>MAX(C33,0.000000001)^'Asumsi &amp; Bobot'!$E$6*MAX(D33,0.000000001)^'Asumsi &amp; Bobot'!$E$7*MAX(E33,0.000000001)^'Asumsi &amp; Bobot'!$E$8*MAX(F33,0.000000001)^'Asumsi &amp; Bobot'!$E$9*MAX(G33,0.000000001)^'Asumsi &amp; Bobot'!$E$10</f>
        <v>2.4649509317268694</v>
      </c>
      <c r="I33" s="26">
        <f t="shared" si="0"/>
        <v>2.5467776997472485E-3</v>
      </c>
      <c r="J33" s="18">
        <f t="shared" si="1"/>
        <v>149</v>
      </c>
    </row>
    <row r="34" spans="1:10" ht="15" customHeight="1" x14ac:dyDescent="0.35">
      <c r="A34" s="11">
        <v>32</v>
      </c>
      <c r="B34" s="8" t="str">
        <f>Normalisasi!B34</f>
        <v>Accountant</v>
      </c>
      <c r="C34" s="25">
        <f>Normalisasi!H34</f>
        <v>3.4</v>
      </c>
      <c r="D34" s="25">
        <f>Normalisasi!I34</f>
        <v>1</v>
      </c>
      <c r="E34" s="25">
        <f>Normalisasi!J34</f>
        <v>2.44</v>
      </c>
      <c r="F34" s="25">
        <f>Normalisasi!K34</f>
        <v>2.9701582215101139</v>
      </c>
      <c r="G34" s="25">
        <f>Normalisasi!L34</f>
        <v>10</v>
      </c>
      <c r="H34" s="27">
        <f>MAX(C34,0.000000001)^'Asumsi &amp; Bobot'!$E$6*MAX(D34,0.000000001)^'Asumsi &amp; Bobot'!$E$7*MAX(E34,0.000000001)^'Asumsi &amp; Bobot'!$E$8*MAX(F34,0.000000001)^'Asumsi &amp; Bobot'!$E$9*MAX(G34,0.000000001)^'Asumsi &amp; Bobot'!$E$10</f>
        <v>1.7340240403135103</v>
      </c>
      <c r="I34" s="27">
        <f t="shared" si="0"/>
        <v>1.7915868830712324E-3</v>
      </c>
      <c r="J34" s="22">
        <f t="shared" si="1"/>
        <v>263</v>
      </c>
    </row>
    <row r="35" spans="1:10" ht="15" customHeight="1" x14ac:dyDescent="0.35">
      <c r="A35" s="14">
        <v>33</v>
      </c>
      <c r="B35" s="17" t="str">
        <f>Normalisasi!B35</f>
        <v>Data Scientist</v>
      </c>
      <c r="C35" s="21">
        <f>Normalisasi!H35</f>
        <v>2.8</v>
      </c>
      <c r="D35" s="21">
        <f>Normalisasi!I35</f>
        <v>5.5</v>
      </c>
      <c r="E35" s="21">
        <f>Normalisasi!J35</f>
        <v>2.08</v>
      </c>
      <c r="F35" s="21">
        <f>Normalisasi!K35</f>
        <v>3.691167634688564</v>
      </c>
      <c r="G35" s="21">
        <f>Normalisasi!L35</f>
        <v>1</v>
      </c>
      <c r="H35" s="26">
        <f>MAX(C35,0.000000001)^'Asumsi &amp; Bobot'!$E$6*MAX(D35,0.000000001)^'Asumsi &amp; Bobot'!$E$7*MAX(E35,0.000000001)^'Asumsi &amp; Bobot'!$E$8*MAX(F35,0.000000001)^'Asumsi &amp; Bobot'!$E$9*MAX(G35,0.000000001)^'Asumsi &amp; Bobot'!$E$10</f>
        <v>2.076160540405914</v>
      </c>
      <c r="I35" s="26">
        <f t="shared" si="0"/>
        <v>2.1450809820772795E-3</v>
      </c>
      <c r="J35" s="18">
        <f t="shared" si="1"/>
        <v>205</v>
      </c>
    </row>
    <row r="36" spans="1:10" ht="15" customHeight="1" x14ac:dyDescent="0.35">
      <c r="A36" s="11">
        <v>34</v>
      </c>
      <c r="B36" s="8" t="str">
        <f>Normalisasi!B36</f>
        <v>Marketing Specialist</v>
      </c>
      <c r="C36" s="25">
        <f>Normalisasi!H36</f>
        <v>5.8</v>
      </c>
      <c r="D36" s="25">
        <f>Normalisasi!I36</f>
        <v>1</v>
      </c>
      <c r="E36" s="25">
        <f>Normalisasi!J36</f>
        <v>4.5999999999999996</v>
      </c>
      <c r="F36" s="25">
        <f>Normalisasi!K36</f>
        <v>3.3306629280993389</v>
      </c>
      <c r="G36" s="25">
        <f>Normalisasi!L36</f>
        <v>10</v>
      </c>
      <c r="H36" s="27">
        <f>MAX(C36,0.000000001)^'Asumsi &amp; Bobot'!$E$6*MAX(D36,0.000000001)^'Asumsi &amp; Bobot'!$E$7*MAX(E36,0.000000001)^'Asumsi &amp; Bobot'!$E$8*MAX(F36,0.000000001)^'Asumsi &amp; Bobot'!$E$9*MAX(G36,0.000000001)^'Asumsi &amp; Bobot'!$E$10</f>
        <v>2.3474739676603842</v>
      </c>
      <c r="I36" s="27">
        <f t="shared" si="0"/>
        <v>2.4254009581384686E-3</v>
      </c>
      <c r="J36" s="22">
        <f t="shared" si="1"/>
        <v>170</v>
      </c>
    </row>
    <row r="37" spans="1:10" ht="15" customHeight="1" x14ac:dyDescent="0.35">
      <c r="A37" s="14">
        <v>35</v>
      </c>
      <c r="B37" s="17" t="str">
        <f>Normalisasi!B37</f>
        <v>Senior Manager</v>
      </c>
      <c r="C37" s="21">
        <f>Normalisasi!H37</f>
        <v>7.9</v>
      </c>
      <c r="D37" s="21">
        <f>Normalisasi!I37</f>
        <v>10</v>
      </c>
      <c r="E37" s="21">
        <f>Normalisasi!J37</f>
        <v>8.1999999999999993</v>
      </c>
      <c r="F37" s="21">
        <f>Normalisasi!K37</f>
        <v>7.1159623472862004</v>
      </c>
      <c r="G37" s="21">
        <f>Normalisasi!L37</f>
        <v>1</v>
      </c>
      <c r="H37" s="26">
        <f>MAX(C37,0.000000001)^'Asumsi &amp; Bobot'!$E$6*MAX(D37,0.000000001)^'Asumsi &amp; Bobot'!$E$7*MAX(E37,0.000000001)^'Asumsi &amp; Bobot'!$E$8*MAX(F37,0.000000001)^'Asumsi &amp; Bobot'!$E$9*MAX(G37,0.000000001)^'Asumsi &amp; Bobot'!$E$10</f>
        <v>4.3367616137818903</v>
      </c>
      <c r="I37" s="26">
        <f t="shared" si="0"/>
        <v>4.4807252042790083E-3</v>
      </c>
      <c r="J37" s="18">
        <f t="shared" si="1"/>
        <v>46</v>
      </c>
    </row>
    <row r="38" spans="1:10" ht="15" customHeight="1" x14ac:dyDescent="0.35">
      <c r="A38" s="11">
        <v>36</v>
      </c>
      <c r="B38" s="8" t="str">
        <f>Normalisasi!B38</f>
        <v>Technical Writer</v>
      </c>
      <c r="C38" s="25">
        <f>Normalisasi!H38</f>
        <v>2.2000000000000002</v>
      </c>
      <c r="D38" s="25">
        <f>Normalisasi!I38</f>
        <v>1</v>
      </c>
      <c r="E38" s="25">
        <f>Normalisasi!J38</f>
        <v>1.72</v>
      </c>
      <c r="F38" s="25">
        <f>Normalisasi!K38</f>
        <v>2.6096535149208893</v>
      </c>
      <c r="G38" s="25">
        <f>Normalisasi!L38</f>
        <v>1</v>
      </c>
      <c r="H38" s="27">
        <f>MAX(C38,0.000000001)^'Asumsi &amp; Bobot'!$E$6*MAX(D38,0.000000001)^'Asumsi &amp; Bobot'!$E$7*MAX(E38,0.000000001)^'Asumsi &amp; Bobot'!$E$8*MAX(F38,0.000000001)^'Asumsi &amp; Bobot'!$E$9*MAX(G38,0.000000001)^'Asumsi &amp; Bobot'!$E$10</f>
        <v>1.2343821659275209</v>
      </c>
      <c r="I38" s="27">
        <f t="shared" si="0"/>
        <v>1.2753588449517493E-3</v>
      </c>
      <c r="J38" s="22">
        <f t="shared" si="1"/>
        <v>361</v>
      </c>
    </row>
    <row r="39" spans="1:10" ht="15" customHeight="1" x14ac:dyDescent="0.35">
      <c r="A39" s="14">
        <v>37</v>
      </c>
      <c r="B39" s="17" t="str">
        <f>Normalisasi!B39</f>
        <v>HR Generalist</v>
      </c>
      <c r="C39" s="21">
        <f>Normalisasi!H39</f>
        <v>4.5999999999999996</v>
      </c>
      <c r="D39" s="21">
        <f>Normalisasi!I39</f>
        <v>1</v>
      </c>
      <c r="E39" s="21">
        <f>Normalisasi!J39</f>
        <v>3.52</v>
      </c>
      <c r="F39" s="21">
        <f>Normalisasi!K39</f>
        <v>3.1504105748047264</v>
      </c>
      <c r="G39" s="21">
        <f>Normalisasi!L39</f>
        <v>10</v>
      </c>
      <c r="H39" s="26">
        <f>MAX(C39,0.000000001)^'Asumsi &amp; Bobot'!$E$6*MAX(D39,0.000000001)^'Asumsi &amp; Bobot'!$E$7*MAX(E39,0.000000001)^'Asumsi &amp; Bobot'!$E$8*MAX(F39,0.000000001)^'Asumsi &amp; Bobot'!$E$9*MAX(G39,0.000000001)^'Asumsi &amp; Bobot'!$E$10</f>
        <v>2.0651431761257535</v>
      </c>
      <c r="I39" s="26">
        <f t="shared" si="0"/>
        <v>2.1336978842242736E-3</v>
      </c>
      <c r="J39" s="18">
        <f t="shared" si="1"/>
        <v>210</v>
      </c>
    </row>
    <row r="40" spans="1:10" ht="15" customHeight="1" x14ac:dyDescent="0.35">
      <c r="A40" s="11">
        <v>38</v>
      </c>
      <c r="B40" s="8" t="str">
        <f>Normalisasi!B40</f>
        <v>Project Engineer</v>
      </c>
      <c r="C40" s="25">
        <f>Normalisasi!H40</f>
        <v>6.7</v>
      </c>
      <c r="D40" s="25">
        <f>Normalisasi!I40</f>
        <v>5.5</v>
      </c>
      <c r="E40" s="25">
        <f>Normalisasi!J40</f>
        <v>6.04</v>
      </c>
      <c r="F40" s="25">
        <f>Normalisasi!K40</f>
        <v>5.1331864610454634</v>
      </c>
      <c r="G40" s="25">
        <f>Normalisasi!L40</f>
        <v>1</v>
      </c>
      <c r="H40" s="27">
        <f>MAX(C40,0.000000001)^'Asumsi &amp; Bobot'!$E$6*MAX(D40,0.000000001)^'Asumsi &amp; Bobot'!$E$7*MAX(E40,0.000000001)^'Asumsi &amp; Bobot'!$E$8*MAX(F40,0.000000001)^'Asumsi &amp; Bobot'!$E$9*MAX(G40,0.000000001)^'Asumsi &amp; Bobot'!$E$10</f>
        <v>3.3749891832088585</v>
      </c>
      <c r="I40" s="27">
        <f t="shared" si="0"/>
        <v>3.4870256758672532E-3</v>
      </c>
      <c r="J40" s="22">
        <f t="shared" si="1"/>
        <v>113</v>
      </c>
    </row>
    <row r="41" spans="1:10" ht="15" customHeight="1" x14ac:dyDescent="0.35">
      <c r="A41" s="14">
        <v>39</v>
      </c>
      <c r="B41" s="17" t="str">
        <f>Normalisasi!B41</f>
        <v>Customer Success Rep</v>
      </c>
      <c r="C41" s="21">
        <f>Normalisasi!H41</f>
        <v>1.9</v>
      </c>
      <c r="D41" s="21">
        <f>Normalisasi!I41</f>
        <v>1</v>
      </c>
      <c r="E41" s="21">
        <f>Normalisasi!J41</f>
        <v>1.3599999999999999</v>
      </c>
      <c r="F41" s="21">
        <f>Normalisasi!K41</f>
        <v>2.4294011616262767</v>
      </c>
      <c r="G41" s="21">
        <f>Normalisasi!L41</f>
        <v>10</v>
      </c>
      <c r="H41" s="26">
        <f>MAX(C41,0.000000001)^'Asumsi &amp; Bobot'!$E$6*MAX(D41,0.000000001)^'Asumsi &amp; Bobot'!$E$7*MAX(E41,0.000000001)^'Asumsi &amp; Bobot'!$E$8*MAX(F41,0.000000001)^'Asumsi &amp; Bobot'!$E$9*MAX(G41,0.000000001)^'Asumsi &amp; Bobot'!$E$10</f>
        <v>1.3047594720196865</v>
      </c>
      <c r="I41" s="26">
        <f t="shared" si="0"/>
        <v>1.3480724034314901E-3</v>
      </c>
      <c r="J41" s="18">
        <f t="shared" si="1"/>
        <v>345</v>
      </c>
    </row>
    <row r="42" spans="1:10" ht="15" customHeight="1" x14ac:dyDescent="0.35">
      <c r="A42" s="11">
        <v>40</v>
      </c>
      <c r="B42" s="8" t="str">
        <f>Normalisasi!B42</f>
        <v>Sales Executive</v>
      </c>
      <c r="C42" s="25">
        <f>Normalisasi!H42</f>
        <v>8.8000000000000007</v>
      </c>
      <c r="D42" s="25">
        <f>Normalisasi!I42</f>
        <v>1</v>
      </c>
      <c r="E42" s="25">
        <f>Normalisasi!J42</f>
        <v>8.5599999999999987</v>
      </c>
      <c r="F42" s="25">
        <f>Normalisasi!K42</f>
        <v>6.7554576406969762</v>
      </c>
      <c r="G42" s="25">
        <f>Normalisasi!L42</f>
        <v>1</v>
      </c>
      <c r="H42" s="27">
        <f>MAX(C42,0.000000001)^'Asumsi &amp; Bobot'!$E$6*MAX(D42,0.000000001)^'Asumsi &amp; Bobot'!$E$7*MAX(E42,0.000000001)^'Asumsi &amp; Bobot'!$E$8*MAX(F42,0.000000001)^'Asumsi &amp; Bobot'!$E$9*MAX(G42,0.000000001)^'Asumsi &amp; Bobot'!$E$10</f>
        <v>2.4496299655344296</v>
      </c>
      <c r="I42" s="27">
        <f t="shared" si="0"/>
        <v>2.5309481371643731E-3</v>
      </c>
      <c r="J42" s="22">
        <f t="shared" si="1"/>
        <v>153</v>
      </c>
    </row>
    <row r="43" spans="1:10" ht="15" customHeight="1" x14ac:dyDescent="0.35">
      <c r="A43" s="14">
        <v>41</v>
      </c>
      <c r="B43" s="17" t="str">
        <f>Normalisasi!B43</f>
        <v>UX Designer</v>
      </c>
      <c r="C43" s="21">
        <f>Normalisasi!H43</f>
        <v>4.3</v>
      </c>
      <c r="D43" s="21">
        <f>Normalisasi!I43</f>
        <v>5.5</v>
      </c>
      <c r="E43" s="21">
        <f>Normalisasi!J43</f>
        <v>2.8</v>
      </c>
      <c r="F43" s="21">
        <f>Normalisasi!K43</f>
        <v>3.8714199879831765</v>
      </c>
      <c r="G43" s="21">
        <f>Normalisasi!L43</f>
        <v>10</v>
      </c>
      <c r="H43" s="26">
        <f>MAX(C43,0.000000001)^'Asumsi &amp; Bobot'!$E$6*MAX(D43,0.000000001)^'Asumsi &amp; Bobot'!$E$7*MAX(E43,0.000000001)^'Asumsi &amp; Bobot'!$E$8*MAX(F43,0.000000001)^'Asumsi &amp; Bobot'!$E$9*MAX(G43,0.000000001)^'Asumsi &amp; Bobot'!$E$10</f>
        <v>2.8937458155946976</v>
      </c>
      <c r="I43" s="26">
        <f t="shared" si="0"/>
        <v>2.9898069032678405E-3</v>
      </c>
      <c r="J43" s="18">
        <f t="shared" si="1"/>
        <v>128</v>
      </c>
    </row>
    <row r="44" spans="1:10" ht="15" customHeight="1" x14ac:dyDescent="0.35">
      <c r="A44" s="11">
        <v>42</v>
      </c>
      <c r="B44" s="8" t="str">
        <f>Normalisasi!B44</f>
        <v>Operations Director</v>
      </c>
      <c r="C44" s="25">
        <f>Normalisasi!H44</f>
        <v>8.5</v>
      </c>
      <c r="D44" s="25">
        <f>Normalisasi!I44</f>
        <v>5.5</v>
      </c>
      <c r="E44" s="25">
        <f>Normalisasi!J44</f>
        <v>7.48</v>
      </c>
      <c r="F44" s="25">
        <f>Normalisasi!K44</f>
        <v>7.8369717604646505</v>
      </c>
      <c r="G44" s="25">
        <f>Normalisasi!L44</f>
        <v>1</v>
      </c>
      <c r="H44" s="27">
        <f>MAX(C44,0.000000001)^'Asumsi &amp; Bobot'!$E$6*MAX(D44,0.000000001)^'Asumsi &amp; Bobot'!$E$7*MAX(E44,0.000000001)^'Asumsi &amp; Bobot'!$E$8*MAX(F44,0.000000001)^'Asumsi &amp; Bobot'!$E$9*MAX(G44,0.000000001)^'Asumsi &amp; Bobot'!$E$10</f>
        <v>3.592481971778799</v>
      </c>
      <c r="I44" s="27">
        <f t="shared" si="0"/>
        <v>3.7117383777130939E-3</v>
      </c>
      <c r="J44" s="22">
        <f t="shared" si="1"/>
        <v>99</v>
      </c>
    </row>
    <row r="45" spans="1:10" ht="15" customHeight="1" x14ac:dyDescent="0.35">
      <c r="A45" s="14">
        <v>43</v>
      </c>
      <c r="B45" s="17" t="str">
        <f>Normalisasi!B45</f>
        <v>Network Engineer</v>
      </c>
      <c r="C45" s="21">
        <f>Normalisasi!H45</f>
        <v>3.1</v>
      </c>
      <c r="D45" s="21">
        <f>Normalisasi!I45</f>
        <v>1</v>
      </c>
      <c r="E45" s="21">
        <f>Normalisasi!J45</f>
        <v>2.08</v>
      </c>
      <c r="F45" s="21">
        <f>Normalisasi!K45</f>
        <v>3.1504105748047264</v>
      </c>
      <c r="G45" s="21">
        <f>Normalisasi!L45</f>
        <v>1</v>
      </c>
      <c r="H45" s="26">
        <f>MAX(C45,0.000000001)^'Asumsi &amp; Bobot'!$E$6*MAX(D45,0.000000001)^'Asumsi &amp; Bobot'!$E$7*MAX(E45,0.000000001)^'Asumsi &amp; Bobot'!$E$8*MAX(F45,0.000000001)^'Asumsi &amp; Bobot'!$E$9*MAX(G45,0.000000001)^'Asumsi &amp; Bobot'!$E$10</f>
        <v>1.3735500726461729</v>
      </c>
      <c r="I45" s="26">
        <f t="shared" si="0"/>
        <v>1.4191465840055508E-3</v>
      </c>
      <c r="J45" s="18">
        <f t="shared" si="1"/>
        <v>340</v>
      </c>
    </row>
    <row r="46" spans="1:10" ht="15" customHeight="1" x14ac:dyDescent="0.35">
      <c r="A46" s="11">
        <v>44</v>
      </c>
      <c r="B46" s="8" t="str">
        <f>Normalisasi!B46</f>
        <v>Administrative Assistant</v>
      </c>
      <c r="C46" s="25">
        <f>Normalisasi!H46</f>
        <v>4.9000000000000004</v>
      </c>
      <c r="D46" s="25">
        <f>Normalisasi!I46</f>
        <v>1</v>
      </c>
      <c r="E46" s="25">
        <f>Normalisasi!J46</f>
        <v>3.88</v>
      </c>
      <c r="F46" s="25">
        <f>Normalisasi!K46</f>
        <v>2.6096535149208893</v>
      </c>
      <c r="G46" s="25">
        <f>Normalisasi!L46</f>
        <v>10</v>
      </c>
      <c r="H46" s="27">
        <f>MAX(C46,0.000000001)^'Asumsi &amp; Bobot'!$E$6*MAX(D46,0.000000001)^'Asumsi &amp; Bobot'!$E$7*MAX(E46,0.000000001)^'Asumsi &amp; Bobot'!$E$8*MAX(F46,0.000000001)^'Asumsi &amp; Bobot'!$E$9*MAX(G46,0.000000001)^'Asumsi &amp; Bobot'!$E$10</f>
        <v>2.215331611033255</v>
      </c>
      <c r="I46" s="27">
        <f t="shared" si="0"/>
        <v>2.2888719900692129E-3</v>
      </c>
      <c r="J46" s="22">
        <f t="shared" si="1"/>
        <v>180</v>
      </c>
    </row>
    <row r="47" spans="1:10" ht="15" customHeight="1" x14ac:dyDescent="0.35">
      <c r="A47" s="14">
        <v>45</v>
      </c>
      <c r="B47" s="17" t="str">
        <f>Normalisasi!B47</f>
        <v>Strategy Consultant</v>
      </c>
      <c r="C47" s="21">
        <f>Normalisasi!H47</f>
        <v>6.4</v>
      </c>
      <c r="D47" s="21">
        <f>Normalisasi!I47</f>
        <v>5.5</v>
      </c>
      <c r="E47" s="21">
        <f>Normalisasi!J47</f>
        <v>5.68</v>
      </c>
      <c r="F47" s="21">
        <f>Normalisasi!K47</f>
        <v>5.673943520929301</v>
      </c>
      <c r="G47" s="21">
        <f>Normalisasi!L47</f>
        <v>1</v>
      </c>
      <c r="H47" s="26">
        <f>MAX(C47,0.000000001)^'Asumsi &amp; Bobot'!$E$6*MAX(D47,0.000000001)^'Asumsi &amp; Bobot'!$E$7*MAX(E47,0.000000001)^'Asumsi &amp; Bobot'!$E$8*MAX(F47,0.000000001)^'Asumsi &amp; Bobot'!$E$9*MAX(G47,0.000000001)^'Asumsi &amp; Bobot'!$E$10</f>
        <v>3.2329388447017875</v>
      </c>
      <c r="I47" s="26">
        <f t="shared" si="0"/>
        <v>3.3402598195189847E-3</v>
      </c>
      <c r="J47" s="18">
        <f t="shared" si="1"/>
        <v>115</v>
      </c>
    </row>
    <row r="48" spans="1:10" ht="15" customHeight="1" x14ac:dyDescent="0.35">
      <c r="A48" s="11">
        <v>46</v>
      </c>
      <c r="B48" s="8" t="str">
        <f>Normalisasi!B48</f>
        <v>Copywriter</v>
      </c>
      <c r="C48" s="25">
        <f>Normalisasi!H48</f>
        <v>2.5</v>
      </c>
      <c r="D48" s="25">
        <f>Normalisasi!I48</f>
        <v>1</v>
      </c>
      <c r="E48" s="25">
        <f>Normalisasi!J48</f>
        <v>1.72</v>
      </c>
      <c r="F48" s="25">
        <f>Normalisasi!K48</f>
        <v>2.4294011616262767</v>
      </c>
      <c r="G48" s="25">
        <f>Normalisasi!L48</f>
        <v>10</v>
      </c>
      <c r="H48" s="27">
        <f>MAX(C48,0.000000001)^'Asumsi &amp; Bobot'!$E$6*MAX(D48,0.000000001)^'Asumsi &amp; Bobot'!$E$7*MAX(E48,0.000000001)^'Asumsi &amp; Bobot'!$E$8*MAX(F48,0.000000001)^'Asumsi &amp; Bobot'!$E$9*MAX(G48,0.000000001)^'Asumsi &amp; Bobot'!$E$10</f>
        <v>1.4906107629545648</v>
      </c>
      <c r="I48" s="27">
        <f t="shared" si="0"/>
        <v>1.5400932331891808E-3</v>
      </c>
      <c r="J48" s="22">
        <f t="shared" si="1"/>
        <v>320</v>
      </c>
    </row>
    <row r="49" spans="1:10" ht="15" customHeight="1" x14ac:dyDescent="0.35">
      <c r="A49" s="14">
        <v>47</v>
      </c>
      <c r="B49" s="17" t="str">
        <f>Normalisasi!B49</f>
        <v>Account Manager</v>
      </c>
      <c r="C49" s="21">
        <f>Normalisasi!H49</f>
        <v>3.7</v>
      </c>
      <c r="D49" s="21">
        <f>Normalisasi!I49</f>
        <v>1</v>
      </c>
      <c r="E49" s="21">
        <f>Normalisasi!J49</f>
        <v>2.8</v>
      </c>
      <c r="F49" s="21">
        <f>Normalisasi!K49</f>
        <v>3.691167634688564</v>
      </c>
      <c r="G49" s="21">
        <f>Normalisasi!L49</f>
        <v>1</v>
      </c>
      <c r="H49" s="26">
        <f>MAX(C49,0.000000001)^'Asumsi &amp; Bobot'!$E$6*MAX(D49,0.000000001)^'Asumsi &amp; Bobot'!$E$7*MAX(E49,0.000000001)^'Asumsi &amp; Bobot'!$E$8*MAX(F49,0.000000001)^'Asumsi &amp; Bobot'!$E$9*MAX(G49,0.000000001)^'Asumsi &amp; Bobot'!$E$10</f>
        <v>1.5384067828352512</v>
      </c>
      <c r="I49" s="26">
        <f t="shared" si="0"/>
        <v>1.5894758947270033E-3</v>
      </c>
      <c r="J49" s="18">
        <f t="shared" si="1"/>
        <v>301</v>
      </c>
    </row>
    <row r="50" spans="1:10" ht="15" customHeight="1" x14ac:dyDescent="0.35">
      <c r="A50" s="11">
        <v>48</v>
      </c>
      <c r="B50" s="8" t="str">
        <f>Normalisasi!B50</f>
        <v>Director of Marketing</v>
      </c>
      <c r="C50" s="25">
        <f>Normalisasi!H50</f>
        <v>7.6</v>
      </c>
      <c r="D50" s="25">
        <f>Normalisasi!I50</f>
        <v>5.5</v>
      </c>
      <c r="E50" s="25">
        <f>Normalisasi!J50</f>
        <v>6.76</v>
      </c>
      <c r="F50" s="25">
        <f>Normalisasi!K50</f>
        <v>7.4764670538754254</v>
      </c>
      <c r="G50" s="25">
        <f>Normalisasi!L50</f>
        <v>10</v>
      </c>
      <c r="H50" s="27">
        <f>MAX(C50,0.000000001)^'Asumsi &amp; Bobot'!$E$6*MAX(D50,0.000000001)^'Asumsi &amp; Bobot'!$E$7*MAX(E50,0.000000001)^'Asumsi &amp; Bobot'!$E$8*MAX(F50,0.000000001)^'Asumsi &amp; Bobot'!$E$9*MAX(G50,0.000000001)^'Asumsi &amp; Bobot'!$E$10</f>
        <v>3.9848821115362005</v>
      </c>
      <c r="I50" s="27">
        <f t="shared" si="0"/>
        <v>4.1171646734048037E-3</v>
      </c>
      <c r="J50" s="22">
        <f t="shared" si="1"/>
        <v>64</v>
      </c>
    </row>
    <row r="51" spans="1:10" ht="15" customHeight="1" x14ac:dyDescent="0.35">
      <c r="A51" s="14">
        <v>49</v>
      </c>
      <c r="B51" s="17" t="str">
        <f>Normalisasi!B51</f>
        <v>Senior Scientist</v>
      </c>
      <c r="C51" s="21">
        <f>Normalisasi!H51</f>
        <v>5.5</v>
      </c>
      <c r="D51" s="21">
        <f>Normalisasi!I51</f>
        <v>10</v>
      </c>
      <c r="E51" s="21">
        <f>Normalisasi!J51</f>
        <v>4.96</v>
      </c>
      <c r="F51" s="21">
        <f>Normalisasi!K51</f>
        <v>5.3134388143400759</v>
      </c>
      <c r="G51" s="21">
        <f>Normalisasi!L51</f>
        <v>1</v>
      </c>
      <c r="H51" s="26">
        <f>MAX(C51,0.000000001)^'Asumsi &amp; Bobot'!$E$6*MAX(D51,0.000000001)^'Asumsi &amp; Bobot'!$E$7*MAX(E51,0.000000001)^'Asumsi &amp; Bobot'!$E$8*MAX(F51,0.000000001)^'Asumsi &amp; Bobot'!$E$9*MAX(G51,0.000000001)^'Asumsi &amp; Bobot'!$E$10</f>
        <v>3.546905944795637</v>
      </c>
      <c r="I51" s="26">
        <f t="shared" si="0"/>
        <v>3.664649404188384E-3</v>
      </c>
      <c r="J51" s="18">
        <f t="shared" si="1"/>
        <v>102</v>
      </c>
    </row>
    <row r="52" spans="1:10" ht="15" customHeight="1" x14ac:dyDescent="0.35">
      <c r="A52" s="11">
        <v>50</v>
      </c>
      <c r="B52" s="8" t="str">
        <f>Normalisasi!B52</f>
        <v>Help Desk Analyst</v>
      </c>
      <c r="C52" s="25">
        <f>Normalisasi!H52</f>
        <v>1.6</v>
      </c>
      <c r="D52" s="25">
        <f>Normalisasi!I52</f>
        <v>1</v>
      </c>
      <c r="E52" s="25">
        <f>Normalisasi!J52</f>
        <v>1</v>
      </c>
      <c r="F52" s="25">
        <f>Normalisasi!K52</f>
        <v>2.2491488083316646</v>
      </c>
      <c r="G52" s="25">
        <f>Normalisasi!L52</f>
        <v>1</v>
      </c>
      <c r="H52" s="27">
        <f>MAX(C52,0.000000001)^'Asumsi &amp; Bobot'!$E$6*MAX(D52,0.000000001)^'Asumsi &amp; Bobot'!$E$7*MAX(E52,0.000000001)^'Asumsi &amp; Bobot'!$E$8*MAX(F52,0.000000001)^'Asumsi &amp; Bobot'!$E$9*MAX(G52,0.000000001)^'Asumsi &amp; Bobot'!$E$10</f>
        <v>0.98602570725914751</v>
      </c>
      <c r="I52" s="27">
        <f t="shared" si="0"/>
        <v>1.0187579193983564E-3</v>
      </c>
      <c r="J52" s="22">
        <f t="shared" si="1"/>
        <v>373</v>
      </c>
    </row>
    <row r="53" spans="1:10" ht="15" customHeight="1" x14ac:dyDescent="0.35">
      <c r="A53" s="14">
        <v>51</v>
      </c>
      <c r="B53" s="17" t="str">
        <f>Normalisasi!B53</f>
        <v>Customer Service Manager</v>
      </c>
      <c r="C53" s="21">
        <f>Normalisasi!H53</f>
        <v>9.4</v>
      </c>
      <c r="D53" s="21">
        <f>Normalisasi!I53</f>
        <v>1</v>
      </c>
      <c r="E53" s="21">
        <f>Normalisasi!J53</f>
        <v>8.92</v>
      </c>
      <c r="F53" s="21">
        <f>Normalisasi!K53</f>
        <v>5.673943520929301</v>
      </c>
      <c r="G53" s="21">
        <f>Normalisasi!L53</f>
        <v>10</v>
      </c>
      <c r="H53" s="26">
        <f>MAX(C53,0.000000001)^'Asumsi &amp; Bobot'!$E$6*MAX(D53,0.000000001)^'Asumsi &amp; Bobot'!$E$7*MAX(E53,0.000000001)^'Asumsi &amp; Bobot'!$E$8*MAX(F53,0.000000001)^'Asumsi &amp; Bobot'!$E$9*MAX(G53,0.000000001)^'Asumsi &amp; Bobot'!$E$10</f>
        <v>3.0030497088933772</v>
      </c>
      <c r="I53" s="26">
        <f t="shared" si="0"/>
        <v>3.1027392599998305E-3</v>
      </c>
      <c r="J53" s="18">
        <f t="shared" si="1"/>
        <v>119</v>
      </c>
    </row>
    <row r="54" spans="1:10" ht="15" customHeight="1" x14ac:dyDescent="0.35">
      <c r="A54" s="11">
        <v>52</v>
      </c>
      <c r="B54" s="8" t="str">
        <f>Normalisasi!B54</f>
        <v>Business Intelligence Analyst</v>
      </c>
      <c r="C54" s="25">
        <f>Normalisasi!H54</f>
        <v>4</v>
      </c>
      <c r="D54" s="25">
        <f>Normalisasi!I54</f>
        <v>5.5</v>
      </c>
      <c r="E54" s="25">
        <f>Normalisasi!J54</f>
        <v>3.52</v>
      </c>
      <c r="F54" s="25">
        <f>Normalisasi!K54</f>
        <v>4.0516723412777891</v>
      </c>
      <c r="G54" s="25">
        <f>Normalisasi!L54</f>
        <v>1</v>
      </c>
      <c r="H54" s="27">
        <f>MAX(C54,0.000000001)^'Asumsi &amp; Bobot'!$E$6*MAX(D54,0.000000001)^'Asumsi &amp; Bobot'!$E$7*MAX(E54,0.000000001)^'Asumsi &amp; Bobot'!$E$8*MAX(F54,0.000000001)^'Asumsi &amp; Bobot'!$E$9*MAX(G54,0.000000001)^'Asumsi &amp; Bobot'!$E$10</f>
        <v>2.6242489235389042</v>
      </c>
      <c r="I54" s="27">
        <f t="shared" si="0"/>
        <v>2.7113637642970979E-3</v>
      </c>
      <c r="J54" s="22">
        <f t="shared" si="1"/>
        <v>142</v>
      </c>
    </row>
    <row r="55" spans="1:10" ht="15" customHeight="1" x14ac:dyDescent="0.35">
      <c r="A55" s="14">
        <v>53</v>
      </c>
      <c r="B55" s="17" t="str">
        <f>Normalisasi!B55</f>
        <v>Event Coordinator</v>
      </c>
      <c r="C55" s="21">
        <f>Normalisasi!H55</f>
        <v>6.1</v>
      </c>
      <c r="D55" s="21">
        <f>Normalisasi!I55</f>
        <v>1</v>
      </c>
      <c r="E55" s="21">
        <f>Normalisasi!J55</f>
        <v>5.32</v>
      </c>
      <c r="F55" s="21">
        <f>Normalisasi!K55</f>
        <v>3.1504105748047264</v>
      </c>
      <c r="G55" s="21">
        <f>Normalisasi!L55</f>
        <v>10</v>
      </c>
      <c r="H55" s="26">
        <f>MAX(C55,0.000000001)^'Asumsi &amp; Bobot'!$E$6*MAX(D55,0.000000001)^'Asumsi &amp; Bobot'!$E$7*MAX(E55,0.000000001)^'Asumsi &amp; Bobot'!$E$8*MAX(F55,0.000000001)^'Asumsi &amp; Bobot'!$E$9*MAX(G55,0.000000001)^'Asumsi &amp; Bobot'!$E$10</f>
        <v>2.5075766871068126</v>
      </c>
      <c r="I55" s="26">
        <f t="shared" si="0"/>
        <v>2.5908184641451298E-3</v>
      </c>
      <c r="J55" s="18">
        <f t="shared" si="1"/>
        <v>146</v>
      </c>
    </row>
    <row r="56" spans="1:10" ht="15" customHeight="1" x14ac:dyDescent="0.35">
      <c r="A56" s="11">
        <v>54</v>
      </c>
      <c r="B56" s="8" t="str">
        <f>Normalisasi!B56</f>
        <v>VP of Finance</v>
      </c>
      <c r="C56" s="25">
        <f>Normalisasi!H56</f>
        <v>8.1999999999999993</v>
      </c>
      <c r="D56" s="25">
        <f>Normalisasi!I56</f>
        <v>5.5</v>
      </c>
      <c r="E56" s="25">
        <f>Normalisasi!J56</f>
        <v>7.84</v>
      </c>
      <c r="F56" s="25">
        <f>Normalisasi!K56</f>
        <v>8.1974764670538747</v>
      </c>
      <c r="G56" s="25">
        <f>Normalisasi!L56</f>
        <v>1</v>
      </c>
      <c r="H56" s="27">
        <f>MAX(C56,0.000000001)^'Asumsi &amp; Bobot'!$E$6*MAX(D56,0.000000001)^'Asumsi &amp; Bobot'!$E$7*MAX(E56,0.000000001)^'Asumsi &amp; Bobot'!$E$8*MAX(F56,0.000000001)^'Asumsi &amp; Bobot'!$E$9*MAX(G56,0.000000001)^'Asumsi &amp; Bobot'!$E$10</f>
        <v>3.6014231461053634</v>
      </c>
      <c r="I56" s="27">
        <f t="shared" si="0"/>
        <v>3.7209763641944289E-3</v>
      </c>
      <c r="J56" s="22">
        <f t="shared" si="1"/>
        <v>98</v>
      </c>
    </row>
    <row r="57" spans="1:10" ht="15" customHeight="1" x14ac:dyDescent="0.35">
      <c r="A57" s="14">
        <v>55</v>
      </c>
      <c r="B57" s="17" t="str">
        <f>Normalisasi!B57</f>
        <v>Graphic Designer</v>
      </c>
      <c r="C57" s="21">
        <f>Normalisasi!H57</f>
        <v>2.8</v>
      </c>
      <c r="D57" s="21">
        <f>Normalisasi!I57</f>
        <v>1</v>
      </c>
      <c r="E57" s="21">
        <f>Normalisasi!J57</f>
        <v>2.08</v>
      </c>
      <c r="F57" s="21">
        <f>Normalisasi!K57</f>
        <v>2.7899058682155018</v>
      </c>
      <c r="G57" s="21">
        <f>Normalisasi!L57</f>
        <v>10</v>
      </c>
      <c r="H57" s="26">
        <f>MAX(C57,0.000000001)^'Asumsi &amp; Bobot'!$E$6*MAX(D57,0.000000001)^'Asumsi &amp; Bobot'!$E$7*MAX(E57,0.000000001)^'Asumsi &amp; Bobot'!$E$8*MAX(F57,0.000000001)^'Asumsi &amp; Bobot'!$E$9*MAX(G57,0.000000001)^'Asumsi &amp; Bobot'!$E$10</f>
        <v>1.5948044710473355</v>
      </c>
      <c r="I57" s="26">
        <f t="shared" si="0"/>
        <v>1.6477457664745962E-3</v>
      </c>
      <c r="J57" s="18">
        <f t="shared" si="1"/>
        <v>293</v>
      </c>
    </row>
    <row r="58" spans="1:10" ht="15" customHeight="1" x14ac:dyDescent="0.35">
      <c r="A58" s="11">
        <v>56</v>
      </c>
      <c r="B58" s="8" t="str">
        <f>Normalisasi!B58</f>
        <v>Sales Manager</v>
      </c>
      <c r="C58" s="25">
        <f>Normalisasi!H58</f>
        <v>4.9000000000000004</v>
      </c>
      <c r="D58" s="25">
        <f>Normalisasi!I58</f>
        <v>1</v>
      </c>
      <c r="E58" s="25">
        <f>Normalisasi!J58</f>
        <v>4.24</v>
      </c>
      <c r="F58" s="25">
        <f>Normalisasi!K58</f>
        <v>4.4121770478670133</v>
      </c>
      <c r="G58" s="25">
        <f>Normalisasi!L58</f>
        <v>1</v>
      </c>
      <c r="H58" s="27">
        <f>MAX(C58,0.000000001)^'Asumsi &amp; Bobot'!$E$6*MAX(D58,0.000000001)^'Asumsi &amp; Bobot'!$E$7*MAX(E58,0.000000001)^'Asumsi &amp; Bobot'!$E$8*MAX(F58,0.000000001)^'Asumsi &amp; Bobot'!$E$9*MAX(G58,0.000000001)^'Asumsi &amp; Bobot'!$E$10</f>
        <v>1.8247671080522221</v>
      </c>
      <c r="I58" s="27">
        <f t="shared" si="0"/>
        <v>1.8853422671436049E-3</v>
      </c>
      <c r="J58" s="22">
        <f t="shared" si="1"/>
        <v>242</v>
      </c>
    </row>
    <row r="59" spans="1:10" ht="15" customHeight="1" x14ac:dyDescent="0.35">
      <c r="A59" s="14">
        <v>57</v>
      </c>
      <c r="B59" s="17" t="str">
        <f>Normalisasi!B59</f>
        <v>UX Researcher</v>
      </c>
      <c r="C59" s="21">
        <f>Normalisasi!H59</f>
        <v>2.2000000000000002</v>
      </c>
      <c r="D59" s="21">
        <f>Normalisasi!I59</f>
        <v>5.5</v>
      </c>
      <c r="E59" s="21">
        <f>Normalisasi!J59</f>
        <v>1.72</v>
      </c>
      <c r="F59" s="21">
        <f>Normalisasi!K59</f>
        <v>3.3306629280993389</v>
      </c>
      <c r="G59" s="21">
        <f>Normalisasi!L59</f>
        <v>10</v>
      </c>
      <c r="H59" s="26">
        <f>MAX(C59,0.000000001)^'Asumsi &amp; Bobot'!$E$6*MAX(D59,0.000000001)^'Asumsi &amp; Bobot'!$E$7*MAX(E59,0.000000001)^'Asumsi &amp; Bobot'!$E$8*MAX(F59,0.000000001)^'Asumsi &amp; Bobot'!$E$9*MAX(G59,0.000000001)^'Asumsi &amp; Bobot'!$E$10</f>
        <v>2.1949264798361714</v>
      </c>
      <c r="I59" s="26">
        <f t="shared" si="0"/>
        <v>2.267789488010341E-3</v>
      </c>
      <c r="J59" s="18">
        <f t="shared" si="1"/>
        <v>186</v>
      </c>
    </row>
    <row r="60" spans="1:10" ht="15" customHeight="1" x14ac:dyDescent="0.35">
      <c r="A60" s="11">
        <v>58</v>
      </c>
      <c r="B60" s="8" t="str">
        <f>Normalisasi!B60</f>
        <v>Senior Engineer</v>
      </c>
      <c r="C60" s="25">
        <f>Normalisasi!H60</f>
        <v>7</v>
      </c>
      <c r="D60" s="25">
        <f>Normalisasi!I60</f>
        <v>10</v>
      </c>
      <c r="E60" s="25">
        <f>Normalisasi!J60</f>
        <v>7.12</v>
      </c>
      <c r="F60" s="25">
        <f>Normalisasi!K60</f>
        <v>6.0344482275185261</v>
      </c>
      <c r="G60" s="25">
        <f>Normalisasi!L60</f>
        <v>1</v>
      </c>
      <c r="H60" s="27">
        <f>MAX(C60,0.000000001)^'Asumsi &amp; Bobot'!$E$6*MAX(D60,0.000000001)^'Asumsi &amp; Bobot'!$E$7*MAX(E60,0.000000001)^'Asumsi &amp; Bobot'!$E$8*MAX(F60,0.000000001)^'Asumsi &amp; Bobot'!$E$9*MAX(G60,0.000000001)^'Asumsi &amp; Bobot'!$E$10</f>
        <v>4.1282050787194589</v>
      </c>
      <c r="I60" s="27">
        <f t="shared" si="0"/>
        <v>4.2652454047434245E-3</v>
      </c>
      <c r="J60" s="22">
        <f t="shared" si="1"/>
        <v>55</v>
      </c>
    </row>
    <row r="61" spans="1:10" ht="15" customHeight="1" x14ac:dyDescent="0.35">
      <c r="A61" s="14">
        <v>59</v>
      </c>
      <c r="B61" s="17" t="str">
        <f>Normalisasi!B61</f>
        <v>Social Media Manager</v>
      </c>
      <c r="C61" s="21">
        <f>Normalisasi!H61</f>
        <v>3.1</v>
      </c>
      <c r="D61" s="21">
        <f>Normalisasi!I61</f>
        <v>1</v>
      </c>
      <c r="E61" s="21">
        <f>Normalisasi!J61</f>
        <v>2.44</v>
      </c>
      <c r="F61" s="21">
        <f>Normalisasi!K61</f>
        <v>2.9701582215101139</v>
      </c>
      <c r="G61" s="21">
        <f>Normalisasi!L61</f>
        <v>10</v>
      </c>
      <c r="H61" s="26">
        <f>MAX(C61,0.000000001)^'Asumsi &amp; Bobot'!$E$6*MAX(D61,0.000000001)^'Asumsi &amp; Bobot'!$E$7*MAX(E61,0.000000001)^'Asumsi &amp; Bobot'!$E$8*MAX(F61,0.000000001)^'Asumsi &amp; Bobot'!$E$9*MAX(G61,0.000000001)^'Asumsi &amp; Bobot'!$E$10</f>
        <v>1.7022826374404678</v>
      </c>
      <c r="I61" s="26">
        <f t="shared" si="0"/>
        <v>1.7587917892804099E-3</v>
      </c>
      <c r="J61" s="18">
        <f t="shared" si="1"/>
        <v>269</v>
      </c>
    </row>
    <row r="62" spans="1:10" ht="15" customHeight="1" x14ac:dyDescent="0.35">
      <c r="A62" s="11">
        <v>60</v>
      </c>
      <c r="B62" s="8" t="str">
        <f>Normalisasi!B62</f>
        <v>Product Manager</v>
      </c>
      <c r="C62" s="25">
        <f>Normalisasi!H62</f>
        <v>4.5999999999999996</v>
      </c>
      <c r="D62" s="25">
        <f>Normalisasi!I62</f>
        <v>5.5</v>
      </c>
      <c r="E62" s="25">
        <f>Normalisasi!J62</f>
        <v>3.52</v>
      </c>
      <c r="F62" s="25">
        <f>Normalisasi!K62</f>
        <v>4.7726817544562383</v>
      </c>
      <c r="G62" s="25">
        <f>Normalisasi!L62</f>
        <v>1</v>
      </c>
      <c r="H62" s="27">
        <f>MAX(C62,0.000000001)^'Asumsi &amp; Bobot'!$E$6*MAX(D62,0.000000001)^'Asumsi &amp; Bobot'!$E$7*MAX(E62,0.000000001)^'Asumsi &amp; Bobot'!$E$8*MAX(F62,0.000000001)^'Asumsi &amp; Bobot'!$E$9*MAX(G62,0.000000001)^'Asumsi &amp; Bobot'!$E$10</f>
        <v>2.6403459948347092</v>
      </c>
      <c r="I62" s="27">
        <f t="shared" si="0"/>
        <v>2.7279951956492333E-3</v>
      </c>
      <c r="J62" s="22">
        <f t="shared" si="1"/>
        <v>141</v>
      </c>
    </row>
    <row r="63" spans="1:10" ht="15" customHeight="1" x14ac:dyDescent="0.35">
      <c r="A63" s="14">
        <v>61</v>
      </c>
      <c r="B63" s="17" t="str">
        <f>Normalisasi!B63</f>
        <v>Director of Operations</v>
      </c>
      <c r="C63" s="21">
        <f>Normalisasi!H63</f>
        <v>9.4</v>
      </c>
      <c r="D63" s="21">
        <f>Normalisasi!I63</f>
        <v>5.5</v>
      </c>
      <c r="E63" s="21">
        <f>Normalisasi!J63</f>
        <v>9.2799999999999994</v>
      </c>
      <c r="F63" s="21">
        <f>Normalisasi!K63</f>
        <v>7.1159623472862004</v>
      </c>
      <c r="G63" s="21">
        <f>Normalisasi!L63</f>
        <v>10</v>
      </c>
      <c r="H63" s="26">
        <f>MAX(C63,0.000000001)^'Asumsi &amp; Bobot'!$E$6*MAX(D63,0.000000001)^'Asumsi &amp; Bobot'!$E$7*MAX(E63,0.000000001)^'Asumsi &amp; Bobot'!$E$8*MAX(F63,0.000000001)^'Asumsi &amp; Bobot'!$E$9*MAX(G63,0.000000001)^'Asumsi &amp; Bobot'!$E$10</f>
        <v>4.6516510469961672</v>
      </c>
      <c r="I63" s="26">
        <f t="shared" si="0"/>
        <v>4.806067739935224E-3</v>
      </c>
      <c r="J63" s="18">
        <f t="shared" si="1"/>
        <v>20</v>
      </c>
    </row>
    <row r="64" spans="1:10" ht="15" customHeight="1" x14ac:dyDescent="0.35">
      <c r="A64" s="11">
        <v>62</v>
      </c>
      <c r="B64" s="8" t="str">
        <f>Normalisasi!B64</f>
        <v>Marketing Analyst</v>
      </c>
      <c r="C64" s="25">
        <f>Normalisasi!H64</f>
        <v>2.8</v>
      </c>
      <c r="D64" s="25">
        <f>Normalisasi!I64</f>
        <v>1</v>
      </c>
      <c r="E64" s="25">
        <f>Normalisasi!J64</f>
        <v>2.08</v>
      </c>
      <c r="F64" s="25">
        <f>Normalisasi!K64</f>
        <v>2.7899058682155018</v>
      </c>
      <c r="G64" s="25">
        <f>Normalisasi!L64</f>
        <v>1</v>
      </c>
      <c r="H64" s="27">
        <f>MAX(C64,0.000000001)^'Asumsi &amp; Bobot'!$E$6*MAX(D64,0.000000001)^'Asumsi &amp; Bobot'!$E$7*MAX(E64,0.000000001)^'Asumsi &amp; Bobot'!$E$8*MAX(F64,0.000000001)^'Asumsi &amp; Bobot'!$E$9*MAX(G64,0.000000001)^'Asumsi &amp; Bobot'!$E$10</f>
        <v>1.36785725387172</v>
      </c>
      <c r="I64" s="27">
        <f t="shared" si="0"/>
        <v>1.4132647858257704E-3</v>
      </c>
      <c r="J64" s="22">
        <f t="shared" si="1"/>
        <v>341</v>
      </c>
    </row>
    <row r="65" spans="1:10" ht="15" customHeight="1" x14ac:dyDescent="0.35">
      <c r="A65" s="14">
        <v>63</v>
      </c>
      <c r="B65" s="17" t="str">
        <f>Normalisasi!B65</f>
        <v>HR Manager</v>
      </c>
      <c r="C65" s="21">
        <f>Normalisasi!H65</f>
        <v>6.1</v>
      </c>
      <c r="D65" s="21">
        <f>Normalisasi!I65</f>
        <v>1</v>
      </c>
      <c r="E65" s="21">
        <f>Normalisasi!J65</f>
        <v>5.32</v>
      </c>
      <c r="F65" s="21">
        <f>Normalisasi!K65</f>
        <v>3.8714199879831765</v>
      </c>
      <c r="G65" s="21">
        <f>Normalisasi!L65</f>
        <v>10</v>
      </c>
      <c r="H65" s="26">
        <f>MAX(C65,0.000000001)^'Asumsi &amp; Bobot'!$E$6*MAX(D65,0.000000001)^'Asumsi &amp; Bobot'!$E$7*MAX(E65,0.000000001)^'Asumsi &amp; Bobot'!$E$8*MAX(F65,0.000000001)^'Asumsi &amp; Bobot'!$E$9*MAX(G65,0.000000001)^'Asumsi &amp; Bobot'!$E$10</f>
        <v>2.4396103810557594</v>
      </c>
      <c r="I65" s="26">
        <f t="shared" si="0"/>
        <v>2.5205959415151341E-3</v>
      </c>
      <c r="J65" s="18">
        <f t="shared" si="1"/>
        <v>155</v>
      </c>
    </row>
    <row r="66" spans="1:10" ht="15" customHeight="1" x14ac:dyDescent="0.35">
      <c r="A66" s="11">
        <v>64</v>
      </c>
      <c r="B66" s="8" t="str">
        <f>Normalisasi!B66</f>
        <v>Senior Data Scientist</v>
      </c>
      <c r="C66" s="25">
        <f>Normalisasi!H66</f>
        <v>8.1999999999999993</v>
      </c>
      <c r="D66" s="25">
        <f>Normalisasi!I66</f>
        <v>10</v>
      </c>
      <c r="E66" s="25">
        <f>Normalisasi!J66</f>
        <v>8.5599999999999987</v>
      </c>
      <c r="F66" s="25">
        <f>Normalisasi!K66</f>
        <v>7.4764670538754254</v>
      </c>
      <c r="G66" s="25">
        <f>Normalisasi!L66</f>
        <v>1</v>
      </c>
      <c r="H66" s="27">
        <f>MAX(C66,0.000000001)^'Asumsi &amp; Bobot'!$E$6*MAX(D66,0.000000001)^'Asumsi &amp; Bobot'!$E$7*MAX(E66,0.000000001)^'Asumsi &amp; Bobot'!$E$8*MAX(F66,0.000000001)^'Asumsi &amp; Bobot'!$E$9*MAX(G66,0.000000001)^'Asumsi &amp; Bobot'!$E$10</f>
        <v>4.4031265619840374</v>
      </c>
      <c r="I66" s="27">
        <f t="shared" si="0"/>
        <v>4.5492932102180559E-3</v>
      </c>
      <c r="J66" s="22">
        <f t="shared" si="1"/>
        <v>40</v>
      </c>
    </row>
    <row r="67" spans="1:10" ht="15" customHeight="1" x14ac:dyDescent="0.35">
      <c r="A67" s="14">
        <v>65</v>
      </c>
      <c r="B67" s="17" t="str">
        <f>Normalisasi!B67</f>
        <v>Junior Accountant</v>
      </c>
      <c r="C67" s="21">
        <f>Normalisasi!H67</f>
        <v>1.9</v>
      </c>
      <c r="D67" s="21">
        <f>Normalisasi!I67</f>
        <v>1</v>
      </c>
      <c r="E67" s="21">
        <f>Normalisasi!J67</f>
        <v>1.3599999999999999</v>
      </c>
      <c r="F67" s="21">
        <f>Normalisasi!K67</f>
        <v>2.2491488083316646</v>
      </c>
      <c r="G67" s="21">
        <f>Normalisasi!L67</f>
        <v>1</v>
      </c>
      <c r="H67" s="26">
        <f>MAX(C67,0.000000001)^'Asumsi &amp; Bobot'!$E$6*MAX(D67,0.000000001)^'Asumsi &amp; Bobot'!$E$7*MAX(E67,0.000000001)^'Asumsi &amp; Bobot'!$E$8*MAX(F67,0.000000001)^'Asumsi &amp; Bobot'!$E$9*MAX(G67,0.000000001)^'Asumsi &amp; Bobot'!$E$10</f>
        <v>1.1306493332174674</v>
      </c>
      <c r="I67" s="26">
        <f t="shared" ref="I67:I130" si="2">H67/SUM($H$3:$H$375)</f>
        <v>1.1681824863162868E-3</v>
      </c>
      <c r="J67" s="18">
        <f t="shared" ref="J67:J130" si="3">RANK(I67,$I$3:$I$375,0)</f>
        <v>368</v>
      </c>
    </row>
    <row r="68" spans="1:10" ht="15" customHeight="1" x14ac:dyDescent="0.35">
      <c r="A68" s="11">
        <v>66</v>
      </c>
      <c r="B68" s="8" t="str">
        <f>Normalisasi!B68</f>
        <v>Digital Marketing Manager</v>
      </c>
      <c r="C68" s="25">
        <f>Normalisasi!H68</f>
        <v>5.5</v>
      </c>
      <c r="D68" s="25">
        <f>Normalisasi!I68</f>
        <v>5.5</v>
      </c>
      <c r="E68" s="25">
        <f>Normalisasi!J68</f>
        <v>4.5999999999999996</v>
      </c>
      <c r="F68" s="25">
        <f>Normalisasi!K68</f>
        <v>4.2319246945724007</v>
      </c>
      <c r="G68" s="25">
        <f>Normalisasi!L68</f>
        <v>10</v>
      </c>
      <c r="H68" s="27">
        <f>MAX(C68,0.000000001)^'Asumsi &amp; Bobot'!$E$6*MAX(D68,0.000000001)^'Asumsi &amp; Bobot'!$E$7*MAX(E68,0.000000001)^'Asumsi &amp; Bobot'!$E$8*MAX(F68,0.000000001)^'Asumsi &amp; Bobot'!$E$9*MAX(G68,0.000000001)^'Asumsi &amp; Bobot'!$E$10</f>
        <v>3.5444605053275637</v>
      </c>
      <c r="I68" s="27">
        <f t="shared" si="2"/>
        <v>3.662122785656871E-3</v>
      </c>
      <c r="J68" s="22">
        <f t="shared" si="3"/>
        <v>103</v>
      </c>
    </row>
    <row r="69" spans="1:10" ht="15" customHeight="1" x14ac:dyDescent="0.35">
      <c r="A69" s="14">
        <v>67</v>
      </c>
      <c r="B69" s="17" t="str">
        <f>Normalisasi!B69</f>
        <v>IT Manager</v>
      </c>
      <c r="C69" s="21">
        <f>Normalisasi!H69</f>
        <v>7.9</v>
      </c>
      <c r="D69" s="21">
        <f>Normalisasi!I69</f>
        <v>1</v>
      </c>
      <c r="E69" s="21">
        <f>Normalisasi!J69</f>
        <v>7.84</v>
      </c>
      <c r="F69" s="21">
        <f>Normalisasi!K69</f>
        <v>5.3134388143400759</v>
      </c>
      <c r="G69" s="21">
        <f>Normalisasi!L69</f>
        <v>1</v>
      </c>
      <c r="H69" s="26">
        <f>MAX(C69,0.000000001)^'Asumsi &amp; Bobot'!$E$6*MAX(D69,0.000000001)^'Asumsi &amp; Bobot'!$E$7*MAX(E69,0.000000001)^'Asumsi &amp; Bobot'!$E$8*MAX(F69,0.000000001)^'Asumsi &amp; Bobot'!$E$9*MAX(G69,0.000000001)^'Asumsi &amp; Bobot'!$E$10</f>
        <v>2.4038868106250724</v>
      </c>
      <c r="I69" s="26">
        <f t="shared" si="2"/>
        <v>2.4836864877174126E-3</v>
      </c>
      <c r="J69" s="18">
        <f t="shared" si="3"/>
        <v>158</v>
      </c>
    </row>
    <row r="70" spans="1:10" ht="15" customHeight="1" x14ac:dyDescent="0.35">
      <c r="A70" s="11">
        <v>68</v>
      </c>
      <c r="B70" s="8" t="str">
        <f>Normalisasi!B70</f>
        <v>Customer Service Representative</v>
      </c>
      <c r="C70" s="25">
        <f>Normalisasi!H70</f>
        <v>3.4</v>
      </c>
      <c r="D70" s="25">
        <f>Normalisasi!I70</f>
        <v>1</v>
      </c>
      <c r="E70" s="25">
        <f>Normalisasi!J70</f>
        <v>2.8</v>
      </c>
      <c r="F70" s="25">
        <f>Normalisasi!K70</f>
        <v>2.6096535149208893</v>
      </c>
      <c r="G70" s="25">
        <f>Normalisasi!L70</f>
        <v>10</v>
      </c>
      <c r="H70" s="27">
        <f>MAX(C70,0.000000001)^'Asumsi &amp; Bobot'!$E$6*MAX(D70,0.000000001)^'Asumsi &amp; Bobot'!$E$7*MAX(E70,0.000000001)^'Asumsi &amp; Bobot'!$E$8*MAX(F70,0.000000001)^'Asumsi &amp; Bobot'!$E$9*MAX(G70,0.000000001)^'Asumsi &amp; Bobot'!$E$10</f>
        <v>1.8470163812724016</v>
      </c>
      <c r="I70" s="27">
        <f t="shared" si="2"/>
        <v>1.9083301295563628E-3</v>
      </c>
      <c r="J70" s="22">
        <f t="shared" si="3"/>
        <v>233</v>
      </c>
    </row>
    <row r="71" spans="1:10" ht="15" customHeight="1" x14ac:dyDescent="0.35">
      <c r="A71" s="14">
        <v>69</v>
      </c>
      <c r="B71" s="17" t="str">
        <f>Normalisasi!B71</f>
        <v>Business Development Manager</v>
      </c>
      <c r="C71" s="21">
        <f>Normalisasi!H71</f>
        <v>4.3</v>
      </c>
      <c r="D71" s="21">
        <f>Normalisasi!I71</f>
        <v>5.5</v>
      </c>
      <c r="E71" s="21">
        <f>Normalisasi!J71</f>
        <v>3.88</v>
      </c>
      <c r="F71" s="21">
        <f>Normalisasi!K71</f>
        <v>4.2319246945724007</v>
      </c>
      <c r="G71" s="21">
        <f>Normalisasi!L71</f>
        <v>1</v>
      </c>
      <c r="H71" s="26">
        <f>MAX(C71,0.000000001)^'Asumsi &amp; Bobot'!$E$6*MAX(D71,0.000000001)^'Asumsi &amp; Bobot'!$E$7*MAX(E71,0.000000001)^'Asumsi &amp; Bobot'!$E$8*MAX(F71,0.000000001)^'Asumsi &amp; Bobot'!$E$9*MAX(G71,0.000000001)^'Asumsi &amp; Bobot'!$E$10</f>
        <v>2.7344034461339217</v>
      </c>
      <c r="I71" s="26">
        <f t="shared" si="2"/>
        <v>2.8251749879041974E-3</v>
      </c>
      <c r="J71" s="18">
        <f t="shared" si="3"/>
        <v>137</v>
      </c>
    </row>
    <row r="72" spans="1:10" ht="15" customHeight="1" x14ac:dyDescent="0.35">
      <c r="A72" s="11">
        <v>70</v>
      </c>
      <c r="B72" s="8" t="str">
        <f>Normalisasi!B72</f>
        <v>Senior Financial Analyst</v>
      </c>
      <c r="C72" s="25">
        <f>Normalisasi!H72</f>
        <v>8.8000000000000007</v>
      </c>
      <c r="D72" s="25">
        <f>Normalisasi!I72</f>
        <v>5.5</v>
      </c>
      <c r="E72" s="25">
        <f>Normalisasi!J72</f>
        <v>7.48</v>
      </c>
      <c r="F72" s="25">
        <f>Normalisasi!K72</f>
        <v>6.3949529341077511</v>
      </c>
      <c r="G72" s="25">
        <f>Normalisasi!L72</f>
        <v>10</v>
      </c>
      <c r="H72" s="27">
        <f>MAX(C72,0.000000001)^'Asumsi &amp; Bobot'!$E$6*MAX(D72,0.000000001)^'Asumsi &amp; Bobot'!$E$7*MAX(E72,0.000000001)^'Asumsi &amp; Bobot'!$E$8*MAX(F72,0.000000001)^'Asumsi &amp; Bobot'!$E$9*MAX(G72,0.000000001)^'Asumsi &amp; Bobot'!$E$10</f>
        <v>4.3335998137974743</v>
      </c>
      <c r="I72" s="27">
        <f t="shared" si="2"/>
        <v>4.4774584448527945E-3</v>
      </c>
      <c r="J72" s="22">
        <f t="shared" si="3"/>
        <v>48</v>
      </c>
    </row>
    <row r="73" spans="1:10" ht="15" customHeight="1" x14ac:dyDescent="0.35">
      <c r="A73" s="14">
        <v>71</v>
      </c>
      <c r="B73" s="17" t="str">
        <f>Normalisasi!B73</f>
        <v>Web Developer</v>
      </c>
      <c r="C73" s="21">
        <f>Normalisasi!H73</f>
        <v>4</v>
      </c>
      <c r="D73" s="21">
        <f>Normalisasi!I73</f>
        <v>1</v>
      </c>
      <c r="E73" s="21">
        <f>Normalisasi!J73</f>
        <v>3.16</v>
      </c>
      <c r="F73" s="21">
        <f>Normalisasi!K73</f>
        <v>3.3306629280993389</v>
      </c>
      <c r="G73" s="21">
        <f>Normalisasi!L73</f>
        <v>1</v>
      </c>
      <c r="H73" s="26">
        <f>MAX(C73,0.000000001)^'Asumsi &amp; Bobot'!$E$6*MAX(D73,0.000000001)^'Asumsi &amp; Bobot'!$E$7*MAX(E73,0.000000001)^'Asumsi &amp; Bobot'!$E$8*MAX(F73,0.000000001)^'Asumsi &amp; Bobot'!$E$9*MAX(G73,0.000000001)^'Asumsi &amp; Bobot'!$E$10</f>
        <v>1.649314971962712</v>
      </c>
      <c r="I73" s="26">
        <f t="shared" si="2"/>
        <v>1.7040658036593021E-3</v>
      </c>
      <c r="J73" s="18">
        <f t="shared" si="3"/>
        <v>282</v>
      </c>
    </row>
    <row r="74" spans="1:10" ht="15" customHeight="1" x14ac:dyDescent="0.35">
      <c r="A74" s="11">
        <v>72</v>
      </c>
      <c r="B74" s="8" t="str">
        <f>Normalisasi!B74</f>
        <v>Recruiter</v>
      </c>
      <c r="C74" s="25">
        <f>Normalisasi!H74</f>
        <v>5.8</v>
      </c>
      <c r="D74" s="25">
        <f>Normalisasi!I74</f>
        <v>1</v>
      </c>
      <c r="E74" s="25">
        <f>Normalisasi!J74</f>
        <v>4.96</v>
      </c>
      <c r="F74" s="25">
        <f>Normalisasi!K74</f>
        <v>3.5109152813939515</v>
      </c>
      <c r="G74" s="25">
        <f>Normalisasi!L74</f>
        <v>10</v>
      </c>
      <c r="H74" s="27">
        <f>MAX(C74,0.000000001)^'Asumsi &amp; Bobot'!$E$6*MAX(D74,0.000000001)^'Asumsi &amp; Bobot'!$E$7*MAX(E74,0.000000001)^'Asumsi &amp; Bobot'!$E$8*MAX(F74,0.000000001)^'Asumsi &amp; Bobot'!$E$9*MAX(G74,0.000000001)^'Asumsi &amp; Bobot'!$E$10</f>
        <v>2.390324030336819</v>
      </c>
      <c r="I74" s="27">
        <f t="shared" si="2"/>
        <v>2.4696734759612326E-3</v>
      </c>
      <c r="J74" s="22">
        <f t="shared" si="3"/>
        <v>160</v>
      </c>
    </row>
    <row r="75" spans="1:10" ht="15" customHeight="1" x14ac:dyDescent="0.35">
      <c r="A75" s="14">
        <v>73</v>
      </c>
      <c r="B75" s="17" t="str">
        <f>Normalisasi!B75</f>
        <v>Research Director</v>
      </c>
      <c r="C75" s="21">
        <f>Normalisasi!H75</f>
        <v>7.6</v>
      </c>
      <c r="D75" s="21">
        <f>Normalisasi!I75</f>
        <v>10</v>
      </c>
      <c r="E75" s="21">
        <f>Normalisasi!J75</f>
        <v>6.76</v>
      </c>
      <c r="F75" s="21">
        <f>Normalisasi!K75</f>
        <v>7.8369717604646505</v>
      </c>
      <c r="G75" s="21">
        <f>Normalisasi!L75</f>
        <v>1</v>
      </c>
      <c r="H75" s="26">
        <f>MAX(C75,0.000000001)^'Asumsi &amp; Bobot'!$E$6*MAX(D75,0.000000001)^'Asumsi &amp; Bobot'!$E$7*MAX(E75,0.000000001)^'Asumsi &amp; Bobot'!$E$8*MAX(F75,0.000000001)^'Asumsi &amp; Bobot'!$E$9*MAX(G75,0.000000001)^'Asumsi &amp; Bobot'!$E$10</f>
        <v>3.9834421353412042</v>
      </c>
      <c r="I75" s="26">
        <f t="shared" si="2"/>
        <v>4.1156768956099677E-3</v>
      </c>
      <c r="J75" s="18">
        <f t="shared" si="3"/>
        <v>65</v>
      </c>
    </row>
    <row r="76" spans="1:10" ht="15" customHeight="1" x14ac:dyDescent="0.35">
      <c r="A76" s="11">
        <v>74</v>
      </c>
      <c r="B76" s="8" t="str">
        <f>Normalisasi!B76</f>
        <v>Technical Support Specialist</v>
      </c>
      <c r="C76" s="25">
        <f>Normalisasi!H76</f>
        <v>2.5</v>
      </c>
      <c r="D76" s="25">
        <f>Normalisasi!I76</f>
        <v>1</v>
      </c>
      <c r="E76" s="25">
        <f>Normalisasi!J76</f>
        <v>1.72</v>
      </c>
      <c r="F76" s="25">
        <f>Normalisasi!K76</f>
        <v>2.4294011616262767</v>
      </c>
      <c r="G76" s="25">
        <f>Normalisasi!L76</f>
        <v>1</v>
      </c>
      <c r="H76" s="27">
        <f>MAX(C76,0.000000001)^'Asumsi &amp; Bobot'!$E$6*MAX(D76,0.000000001)^'Asumsi &amp; Bobot'!$E$7*MAX(E76,0.000000001)^'Asumsi &amp; Bobot'!$E$8*MAX(F76,0.000000001)^'Asumsi &amp; Bobot'!$E$9*MAX(G76,0.000000001)^'Asumsi &amp; Bobot'!$E$10</f>
        <v>1.2784907377815737</v>
      </c>
      <c r="I76" s="27">
        <f t="shared" si="2"/>
        <v>1.3209316495539497E-3</v>
      </c>
      <c r="J76" s="22">
        <f t="shared" si="3"/>
        <v>347</v>
      </c>
    </row>
    <row r="77" spans="1:10" ht="15" customHeight="1" x14ac:dyDescent="0.35">
      <c r="A77" s="14">
        <v>75</v>
      </c>
      <c r="B77" s="17" t="str">
        <f>Normalisasi!B77</f>
        <v>Creative Director</v>
      </c>
      <c r="C77" s="21">
        <f>Normalisasi!H77</f>
        <v>6.7</v>
      </c>
      <c r="D77" s="21">
        <f>Normalisasi!I77</f>
        <v>5.5</v>
      </c>
      <c r="E77" s="21">
        <f>Normalisasi!J77</f>
        <v>6.04</v>
      </c>
      <c r="F77" s="21">
        <f>Normalisasi!K77</f>
        <v>5.3134388143400759</v>
      </c>
      <c r="G77" s="21">
        <f>Normalisasi!L77</f>
        <v>10</v>
      </c>
      <c r="H77" s="26">
        <f>MAX(C77,0.000000001)^'Asumsi &amp; Bobot'!$E$6*MAX(D77,0.000000001)^'Asumsi &amp; Bobot'!$E$7*MAX(E77,0.000000001)^'Asumsi &amp; Bobot'!$E$8*MAX(F77,0.000000001)^'Asumsi &amp; Bobot'!$E$9*MAX(G77,0.000000001)^'Asumsi &amp; Bobot'!$E$10</f>
        <v>3.9168827025834476</v>
      </c>
      <c r="I77" s="26">
        <f t="shared" si="2"/>
        <v>4.0469079489857344E-3</v>
      </c>
      <c r="J77" s="18">
        <f t="shared" si="3"/>
        <v>70</v>
      </c>
    </row>
    <row r="78" spans="1:10" ht="15" customHeight="1" x14ac:dyDescent="0.35">
      <c r="A78" s="11">
        <v>76</v>
      </c>
      <c r="B78" s="8" t="str">
        <f>Normalisasi!B78</f>
        <v>Project Manager</v>
      </c>
      <c r="C78" s="25">
        <f>Normalisasi!H78</f>
        <v>5.2</v>
      </c>
      <c r="D78" s="25">
        <f>Normalisasi!I78</f>
        <v>1</v>
      </c>
      <c r="E78" s="25">
        <f>Normalisasi!J78</f>
        <v>4.5999999999999996</v>
      </c>
      <c r="F78" s="25">
        <f>Normalisasi!K78</f>
        <v>4.4121770478670133</v>
      </c>
      <c r="G78" s="25">
        <f>Normalisasi!L78</f>
        <v>1</v>
      </c>
      <c r="H78" s="27">
        <f>MAX(C78,0.000000001)^'Asumsi &amp; Bobot'!$E$6*MAX(D78,0.000000001)^'Asumsi &amp; Bobot'!$E$7*MAX(E78,0.000000001)^'Asumsi &amp; Bobot'!$E$8*MAX(F78,0.000000001)^'Asumsi &amp; Bobot'!$E$9*MAX(G78,0.000000001)^'Asumsi &amp; Bobot'!$E$10</f>
        <v>1.8974320051066773</v>
      </c>
      <c r="I78" s="27">
        <f t="shared" si="2"/>
        <v>1.9604193556936262E-3</v>
      </c>
      <c r="J78" s="22">
        <f t="shared" si="3"/>
        <v>226</v>
      </c>
    </row>
    <row r="79" spans="1:10" ht="15" customHeight="1" x14ac:dyDescent="0.35">
      <c r="A79" s="14">
        <v>77</v>
      </c>
      <c r="B79" s="17" t="str">
        <f>Normalisasi!B79</f>
        <v>Operations Manager</v>
      </c>
      <c r="C79" s="21">
        <f>Normalisasi!H79</f>
        <v>9.1</v>
      </c>
      <c r="D79" s="21">
        <f>Normalisasi!I79</f>
        <v>1</v>
      </c>
      <c r="E79" s="21">
        <f>Normalisasi!J79</f>
        <v>8.92</v>
      </c>
      <c r="F79" s="21">
        <f>Normalisasi!K79</f>
        <v>6.7554576406969762</v>
      </c>
      <c r="G79" s="21">
        <f>Normalisasi!L79</f>
        <v>10</v>
      </c>
      <c r="H79" s="26">
        <f>MAX(C79,0.000000001)^'Asumsi &amp; Bobot'!$E$6*MAX(D79,0.000000001)^'Asumsi &amp; Bobot'!$E$7*MAX(E79,0.000000001)^'Asumsi &amp; Bobot'!$E$8*MAX(F79,0.000000001)^'Asumsi &amp; Bobot'!$E$9*MAX(G79,0.000000001)^'Asumsi &amp; Bobot'!$E$10</f>
        <v>2.915027077439309</v>
      </c>
      <c r="I79" s="26">
        <f t="shared" si="2"/>
        <v>3.0117946200985232E-3</v>
      </c>
      <c r="J79" s="18">
        <f t="shared" si="3"/>
        <v>125</v>
      </c>
    </row>
    <row r="80" spans="1:10" ht="15" customHeight="1" x14ac:dyDescent="0.35">
      <c r="A80" s="11">
        <v>78</v>
      </c>
      <c r="B80" s="8" t="str">
        <f>Normalisasi!B80</f>
        <v>Senior Software Engineer</v>
      </c>
      <c r="C80" s="25">
        <f>Normalisasi!H80</f>
        <v>3.7</v>
      </c>
      <c r="D80" s="25">
        <f>Normalisasi!I80</f>
        <v>5.5</v>
      </c>
      <c r="E80" s="25">
        <f>Normalisasi!J80</f>
        <v>3.16</v>
      </c>
      <c r="F80" s="25">
        <f>Normalisasi!K80</f>
        <v>4.5924294011616258</v>
      </c>
      <c r="G80" s="25">
        <f>Normalisasi!L80</f>
        <v>1</v>
      </c>
      <c r="H80" s="27">
        <f>MAX(C80,0.000000001)^'Asumsi &amp; Bobot'!$E$6*MAX(D80,0.000000001)^'Asumsi &amp; Bobot'!$E$7*MAX(E80,0.000000001)^'Asumsi &amp; Bobot'!$E$8*MAX(F80,0.000000001)^'Asumsi &amp; Bobot'!$E$9*MAX(G80,0.000000001)^'Asumsi &amp; Bobot'!$E$10</f>
        <v>2.4510965822516582</v>
      </c>
      <c r="I80" s="27">
        <f t="shared" si="2"/>
        <v>2.532463439842994E-3</v>
      </c>
      <c r="J80" s="22">
        <f t="shared" si="3"/>
        <v>152</v>
      </c>
    </row>
    <row r="81" spans="1:10" ht="15" customHeight="1" x14ac:dyDescent="0.35">
      <c r="A81" s="14">
        <v>79</v>
      </c>
      <c r="B81" s="17" t="str">
        <f>Normalisasi!B81</f>
        <v>Human Resources Director</v>
      </c>
      <c r="C81" s="21">
        <f>Normalisasi!H81</f>
        <v>8.5</v>
      </c>
      <c r="D81" s="21">
        <f>Normalisasi!I81</f>
        <v>5.5</v>
      </c>
      <c r="E81" s="21">
        <f>Normalisasi!J81</f>
        <v>8.1999999999999993</v>
      </c>
      <c r="F81" s="21">
        <f>Normalisasi!K81</f>
        <v>7.4764670538754254</v>
      </c>
      <c r="G81" s="21">
        <f>Normalisasi!L81</f>
        <v>10</v>
      </c>
      <c r="H81" s="26">
        <f>MAX(C81,0.000000001)^'Asumsi &amp; Bobot'!$E$6*MAX(D81,0.000000001)^'Asumsi &amp; Bobot'!$E$7*MAX(E81,0.000000001)^'Asumsi &amp; Bobot'!$E$8*MAX(F81,0.000000001)^'Asumsi &amp; Bobot'!$E$9*MAX(G81,0.000000001)^'Asumsi &amp; Bobot'!$E$10</f>
        <v>4.3460254309709665</v>
      </c>
      <c r="I81" s="26">
        <f t="shared" si="2"/>
        <v>4.4902965441089441E-3</v>
      </c>
      <c r="J81" s="18">
        <f t="shared" si="3"/>
        <v>43</v>
      </c>
    </row>
    <row r="82" spans="1:10" ht="15" customHeight="1" x14ac:dyDescent="0.35">
      <c r="A82" s="11">
        <v>80</v>
      </c>
      <c r="B82" s="8" t="str">
        <f>Normalisasi!B82</f>
        <v>Content Marketing Manager</v>
      </c>
      <c r="C82" s="25">
        <f>Normalisasi!H82</f>
        <v>3.1</v>
      </c>
      <c r="D82" s="25">
        <f>Normalisasi!I82</f>
        <v>1</v>
      </c>
      <c r="E82" s="25">
        <f>Normalisasi!J82</f>
        <v>2.08</v>
      </c>
      <c r="F82" s="25">
        <f>Normalisasi!K82</f>
        <v>2.9701582215101139</v>
      </c>
      <c r="G82" s="25">
        <f>Normalisasi!L82</f>
        <v>10</v>
      </c>
      <c r="H82" s="27">
        <f>MAX(C82,0.000000001)^'Asumsi &amp; Bobot'!$E$6*MAX(D82,0.000000001)^'Asumsi &amp; Bobot'!$E$7*MAX(E82,0.000000001)^'Asumsi &amp; Bobot'!$E$8*MAX(F82,0.000000001)^'Asumsi &amp; Bobot'!$E$9*MAX(G82,0.000000001)^'Asumsi &amp; Bobot'!$E$10</f>
        <v>1.6140717599334611</v>
      </c>
      <c r="I82" s="27">
        <f t="shared" si="2"/>
        <v>1.6676526542905724E-3</v>
      </c>
      <c r="J82" s="22">
        <f t="shared" si="3"/>
        <v>290</v>
      </c>
    </row>
    <row r="83" spans="1:10" ht="15" customHeight="1" x14ac:dyDescent="0.35">
      <c r="A83" s="14">
        <v>81</v>
      </c>
      <c r="B83" s="17" t="str">
        <f>Normalisasi!B83</f>
        <v>Technical Recruiter</v>
      </c>
      <c r="C83" s="21">
        <f>Normalisasi!H83</f>
        <v>4.9000000000000004</v>
      </c>
      <c r="D83" s="21">
        <f>Normalisasi!I83</f>
        <v>1</v>
      </c>
      <c r="E83" s="21">
        <f>Normalisasi!J83</f>
        <v>3.88</v>
      </c>
      <c r="F83" s="21">
        <f>Normalisasi!K83</f>
        <v>3.5109152813939515</v>
      </c>
      <c r="G83" s="21">
        <f>Normalisasi!L83</f>
        <v>1</v>
      </c>
      <c r="H83" s="26">
        <f>MAX(C83,0.000000001)^'Asumsi &amp; Bobot'!$E$6*MAX(D83,0.000000001)^'Asumsi &amp; Bobot'!$E$7*MAX(E83,0.000000001)^'Asumsi &amp; Bobot'!$E$8*MAX(F83,0.000000001)^'Asumsi &amp; Bobot'!$E$9*MAX(G83,0.000000001)^'Asumsi &amp; Bobot'!$E$10</f>
        <v>1.8263909417109554</v>
      </c>
      <c r="I83" s="26">
        <f t="shared" si="2"/>
        <v>1.8870200057537051E-3</v>
      </c>
      <c r="J83" s="18">
        <f t="shared" si="3"/>
        <v>241</v>
      </c>
    </row>
    <row r="84" spans="1:10" ht="15" customHeight="1" x14ac:dyDescent="0.35">
      <c r="A84" s="11">
        <v>82</v>
      </c>
      <c r="B84" s="8" t="str">
        <f>Normalisasi!B84</f>
        <v>Data Analyst</v>
      </c>
      <c r="C84" s="25">
        <f>Normalisasi!H84</f>
        <v>6.4</v>
      </c>
      <c r="D84" s="25">
        <f>Normalisasi!I84</f>
        <v>5.5</v>
      </c>
      <c r="E84" s="25">
        <f>Normalisasi!J84</f>
        <v>5.68</v>
      </c>
      <c r="F84" s="25">
        <f>Normalisasi!K84</f>
        <v>3.8714199879831765</v>
      </c>
      <c r="G84" s="25">
        <f>Normalisasi!L84</f>
        <v>10</v>
      </c>
      <c r="H84" s="27">
        <f>MAX(C84,0.000000001)^'Asumsi &amp; Bobot'!$E$6*MAX(D84,0.000000001)^'Asumsi &amp; Bobot'!$E$7*MAX(E84,0.000000001)^'Asumsi &amp; Bobot'!$E$8*MAX(F84,0.000000001)^'Asumsi &amp; Bobot'!$E$9*MAX(G84,0.000000001)^'Asumsi &amp; Bobot'!$E$10</f>
        <v>3.9664268761066364</v>
      </c>
      <c r="I84" s="27">
        <f t="shared" si="2"/>
        <v>4.0980967960565634E-3</v>
      </c>
      <c r="J84" s="22">
        <f t="shared" si="3"/>
        <v>66</v>
      </c>
    </row>
    <row r="85" spans="1:10" ht="15" customHeight="1" x14ac:dyDescent="0.35">
      <c r="A85" s="14">
        <v>83</v>
      </c>
      <c r="B85" s="17" t="str">
        <f>Normalisasi!B85</f>
        <v>Sales Representative</v>
      </c>
      <c r="C85" s="21">
        <f>Normalisasi!H85</f>
        <v>1.6</v>
      </c>
      <c r="D85" s="21">
        <f>Normalisasi!I85</f>
        <v>1</v>
      </c>
      <c r="E85" s="21">
        <f>Normalisasi!J85</f>
        <v>1</v>
      </c>
      <c r="F85" s="21">
        <f>Normalisasi!K85</f>
        <v>2.0688964550370521</v>
      </c>
      <c r="G85" s="21">
        <f>Normalisasi!L85</f>
        <v>1</v>
      </c>
      <c r="H85" s="26">
        <f>MAX(C85,0.000000001)^'Asumsi &amp; Bobot'!$E$6*MAX(D85,0.000000001)^'Asumsi &amp; Bobot'!$E$7*MAX(E85,0.000000001)^'Asumsi &amp; Bobot'!$E$8*MAX(F85,0.000000001)^'Asumsi &amp; Bobot'!$E$9*MAX(G85,0.000000001)^'Asumsi &amp; Bobot'!$E$10</f>
        <v>0.99706964752297955</v>
      </c>
      <c r="I85" s="26">
        <f t="shared" si="2"/>
        <v>1.0301684754541573E-3</v>
      </c>
      <c r="J85" s="18">
        <f t="shared" si="3"/>
        <v>372</v>
      </c>
    </row>
    <row r="86" spans="1:10" ht="15" customHeight="1" x14ac:dyDescent="0.35">
      <c r="A86" s="11">
        <v>84</v>
      </c>
      <c r="B86" s="8" t="str">
        <f>Normalisasi!B86</f>
        <v>Chief Technology Officer</v>
      </c>
      <c r="C86" s="25">
        <f>Normalisasi!H86</f>
        <v>9.6999999999999993</v>
      </c>
      <c r="D86" s="25">
        <f>Normalisasi!I86</f>
        <v>10</v>
      </c>
      <c r="E86" s="25">
        <f>Normalisasi!J86</f>
        <v>9.64</v>
      </c>
      <c r="F86" s="25">
        <f>Normalisasi!K86</f>
        <v>10</v>
      </c>
      <c r="G86" s="25">
        <f>Normalisasi!L86</f>
        <v>1</v>
      </c>
      <c r="H86" s="27">
        <f>MAX(C86,0.000000001)^'Asumsi &amp; Bobot'!$E$6*MAX(D86,0.000000001)^'Asumsi &amp; Bobot'!$E$7*MAX(E86,0.000000001)^'Asumsi &amp; Bobot'!$E$8*MAX(F86,0.000000001)^'Asumsi &amp; Bobot'!$E$9*MAX(G86,0.000000001)^'Asumsi &amp; Bobot'!$E$10</f>
        <v>4.5573602303233178</v>
      </c>
      <c r="I86" s="27">
        <f t="shared" si="2"/>
        <v>4.7086468354853592E-3</v>
      </c>
      <c r="J86" s="22">
        <f t="shared" si="3"/>
        <v>28</v>
      </c>
    </row>
    <row r="87" spans="1:10" ht="15" customHeight="1" x14ac:dyDescent="0.35">
      <c r="A87" s="14">
        <v>85</v>
      </c>
      <c r="B87" s="17" t="str">
        <f>Normalisasi!B87</f>
        <v>Junior Designer</v>
      </c>
      <c r="C87" s="21">
        <f>Normalisasi!H87</f>
        <v>2.8</v>
      </c>
      <c r="D87" s="21">
        <f>Normalisasi!I87</f>
        <v>1</v>
      </c>
      <c r="E87" s="21">
        <f>Normalisasi!J87</f>
        <v>1.72</v>
      </c>
      <c r="F87" s="21">
        <f>Normalisasi!K87</f>
        <v>2.4294011616262767</v>
      </c>
      <c r="G87" s="21">
        <f>Normalisasi!L87</f>
        <v>10</v>
      </c>
      <c r="H87" s="26">
        <f>MAX(C87,0.000000001)^'Asumsi &amp; Bobot'!$E$6*MAX(D87,0.000000001)^'Asumsi &amp; Bobot'!$E$7*MAX(E87,0.000000001)^'Asumsi &amp; Bobot'!$E$8*MAX(F87,0.000000001)^'Asumsi &amp; Bobot'!$E$9*MAX(G87,0.000000001)^'Asumsi &amp; Bobot'!$E$10</f>
        <v>1.5247823537972869</v>
      </c>
      <c r="I87" s="26">
        <f t="shared" si="2"/>
        <v>1.5753991877227921E-3</v>
      </c>
      <c r="J87" s="18">
        <f t="shared" si="3"/>
        <v>302</v>
      </c>
    </row>
    <row r="88" spans="1:10" ht="15" customHeight="1" x14ac:dyDescent="0.35">
      <c r="A88" s="11">
        <v>86</v>
      </c>
      <c r="B88" s="8" t="str">
        <f>Normalisasi!B88</f>
        <v>Financial Advisor</v>
      </c>
      <c r="C88" s="25">
        <f>Normalisasi!H88</f>
        <v>4.3</v>
      </c>
      <c r="D88" s="25">
        <f>Normalisasi!I88</f>
        <v>5.5</v>
      </c>
      <c r="E88" s="25">
        <f>Normalisasi!J88</f>
        <v>4.5999999999999996</v>
      </c>
      <c r="F88" s="25">
        <f>Normalisasi!K88</f>
        <v>4.4121770478670133</v>
      </c>
      <c r="G88" s="25">
        <f>Normalisasi!L88</f>
        <v>10</v>
      </c>
      <c r="H88" s="27">
        <f>MAX(C88,0.000000001)^'Asumsi &amp; Bobot'!$E$6*MAX(D88,0.000000001)^'Asumsi &amp; Bobot'!$E$7*MAX(E88,0.000000001)^'Asumsi &amp; Bobot'!$E$8*MAX(F88,0.000000001)^'Asumsi &amp; Bobot'!$E$9*MAX(G88,0.000000001)^'Asumsi &amp; Bobot'!$E$10</f>
        <v>3.3554900967457368</v>
      </c>
      <c r="I88" s="27">
        <f t="shared" si="2"/>
        <v>3.4668792956977575E-3</v>
      </c>
      <c r="J88" s="22">
        <f t="shared" si="3"/>
        <v>114</v>
      </c>
    </row>
    <row r="89" spans="1:10" ht="15" customHeight="1" x14ac:dyDescent="0.35">
      <c r="A89" s="14">
        <v>87</v>
      </c>
      <c r="B89" s="17" t="str">
        <f>Normalisasi!B89</f>
        <v>Junior Account Manager</v>
      </c>
      <c r="C89" s="21">
        <f>Normalisasi!H89</f>
        <v>2.2000000000000002</v>
      </c>
      <c r="D89" s="21">
        <f>Normalisasi!I89</f>
        <v>1</v>
      </c>
      <c r="E89" s="21">
        <f>Normalisasi!J89</f>
        <v>1.72</v>
      </c>
      <c r="F89" s="21">
        <f>Normalisasi!K89</f>
        <v>2.6096535149208893</v>
      </c>
      <c r="G89" s="21">
        <f>Normalisasi!L89</f>
        <v>1</v>
      </c>
      <c r="H89" s="26">
        <f>MAX(C89,0.000000001)^'Asumsi &amp; Bobot'!$E$6*MAX(D89,0.000000001)^'Asumsi &amp; Bobot'!$E$7*MAX(E89,0.000000001)^'Asumsi &amp; Bobot'!$E$8*MAX(F89,0.000000001)^'Asumsi &amp; Bobot'!$E$9*MAX(G89,0.000000001)^'Asumsi &amp; Bobot'!$E$10</f>
        <v>1.2343821659275209</v>
      </c>
      <c r="I89" s="26">
        <f t="shared" si="2"/>
        <v>1.2753588449517493E-3</v>
      </c>
      <c r="J89" s="18">
        <f t="shared" si="3"/>
        <v>361</v>
      </c>
    </row>
    <row r="90" spans="1:10" ht="15" customHeight="1" x14ac:dyDescent="0.35">
      <c r="A90" s="11">
        <v>88</v>
      </c>
      <c r="B90" s="8" t="str">
        <f>Normalisasi!B90</f>
        <v>HR Generalist</v>
      </c>
      <c r="C90" s="25">
        <f>Normalisasi!H90</f>
        <v>6.1</v>
      </c>
      <c r="D90" s="25">
        <f>Normalisasi!I90</f>
        <v>1</v>
      </c>
      <c r="E90" s="25">
        <f>Normalisasi!J90</f>
        <v>6.4</v>
      </c>
      <c r="F90" s="25">
        <f>Normalisasi!K90</f>
        <v>3.8714199879831765</v>
      </c>
      <c r="G90" s="25">
        <f>Normalisasi!L90</f>
        <v>10</v>
      </c>
      <c r="H90" s="27">
        <f>MAX(C90,0.000000001)^'Asumsi &amp; Bobot'!$E$6*MAX(D90,0.000000001)^'Asumsi &amp; Bobot'!$E$7*MAX(E90,0.000000001)^'Asumsi &amp; Bobot'!$E$8*MAX(F90,0.000000001)^'Asumsi &amp; Bobot'!$E$9*MAX(G90,0.000000001)^'Asumsi &amp; Bobot'!$E$10</f>
        <v>2.5946368786325058</v>
      </c>
      <c r="I90" s="27">
        <f t="shared" si="2"/>
        <v>2.6807687148618967E-3</v>
      </c>
      <c r="J90" s="22">
        <f t="shared" si="3"/>
        <v>143</v>
      </c>
    </row>
    <row r="91" spans="1:10" ht="15" customHeight="1" x14ac:dyDescent="0.35">
      <c r="A91" s="14">
        <v>89</v>
      </c>
      <c r="B91" s="17" t="str">
        <f>Normalisasi!B91</f>
        <v>Senior Project Manager</v>
      </c>
      <c r="C91" s="21">
        <f>Normalisasi!H91</f>
        <v>7.9</v>
      </c>
      <c r="D91" s="21">
        <f>Normalisasi!I91</f>
        <v>5.5</v>
      </c>
      <c r="E91" s="21">
        <f>Normalisasi!J91</f>
        <v>8.5599999999999987</v>
      </c>
      <c r="F91" s="21">
        <f>Normalisasi!K91</f>
        <v>5.8541958742239135</v>
      </c>
      <c r="G91" s="21">
        <f>Normalisasi!L91</f>
        <v>1</v>
      </c>
      <c r="H91" s="26">
        <f>MAX(C91,0.000000001)^'Asumsi &amp; Bobot'!$E$6*MAX(D91,0.000000001)^'Asumsi &amp; Bobot'!$E$7*MAX(E91,0.000000001)^'Asumsi &amp; Bobot'!$E$8*MAX(F91,0.000000001)^'Asumsi &amp; Bobot'!$E$9*MAX(G91,0.000000001)^'Asumsi &amp; Bobot'!$E$10</f>
        <v>3.849914551080202</v>
      </c>
      <c r="I91" s="26">
        <f t="shared" si="2"/>
        <v>3.97771671574594E-3</v>
      </c>
      <c r="J91" s="18">
        <f t="shared" si="3"/>
        <v>73</v>
      </c>
    </row>
    <row r="92" spans="1:10" ht="15" customHeight="1" x14ac:dyDescent="0.35">
      <c r="A92" s="11">
        <v>90</v>
      </c>
      <c r="B92" s="8" t="str">
        <f>Normalisasi!B92</f>
        <v>Marketing Coordinator</v>
      </c>
      <c r="C92" s="25">
        <f>Normalisasi!H92</f>
        <v>3.4</v>
      </c>
      <c r="D92" s="25">
        <f>Normalisasi!I92</f>
        <v>1</v>
      </c>
      <c r="E92" s="25">
        <f>Normalisasi!J92</f>
        <v>3.16</v>
      </c>
      <c r="F92" s="25">
        <f>Normalisasi!K92</f>
        <v>2.9701582215101139</v>
      </c>
      <c r="G92" s="25">
        <f>Normalisasi!L92</f>
        <v>10</v>
      </c>
      <c r="H92" s="27">
        <f>MAX(C92,0.000000001)^'Asumsi &amp; Bobot'!$E$6*MAX(D92,0.000000001)^'Asumsi &amp; Bobot'!$E$7*MAX(E92,0.000000001)^'Asumsi &amp; Bobot'!$E$8*MAX(F92,0.000000001)^'Asumsi &amp; Bobot'!$E$9*MAX(G92,0.000000001)^'Asumsi &amp; Bobot'!$E$10</f>
        <v>1.8901119720220598</v>
      </c>
      <c r="I92" s="27">
        <f t="shared" si="2"/>
        <v>1.952856326027857E-3</v>
      </c>
      <c r="J92" s="22">
        <f t="shared" si="3"/>
        <v>229</v>
      </c>
    </row>
    <row r="93" spans="1:10" ht="15" customHeight="1" x14ac:dyDescent="0.35">
      <c r="A93" s="14">
        <v>91</v>
      </c>
      <c r="B93" s="17" t="str">
        <f>Normalisasi!B93</f>
        <v>Principal Scientist</v>
      </c>
      <c r="C93" s="21">
        <f>Normalisasi!H93</f>
        <v>4.9000000000000004</v>
      </c>
      <c r="D93" s="21">
        <f>Normalisasi!I93</f>
        <v>10</v>
      </c>
      <c r="E93" s="21">
        <f>Normalisasi!J93</f>
        <v>4.96</v>
      </c>
      <c r="F93" s="21">
        <f>Normalisasi!K93</f>
        <v>5.3134388143400759</v>
      </c>
      <c r="G93" s="21">
        <f>Normalisasi!L93</f>
        <v>1</v>
      </c>
      <c r="H93" s="26">
        <f>MAX(C93,0.000000001)^'Asumsi &amp; Bobot'!$E$6*MAX(D93,0.000000001)^'Asumsi &amp; Bobot'!$E$7*MAX(E93,0.000000001)^'Asumsi &amp; Bobot'!$E$8*MAX(F93,0.000000001)^'Asumsi &amp; Bobot'!$E$9*MAX(G93,0.000000001)^'Asumsi &amp; Bobot'!$E$10</f>
        <v>3.4659025717273066</v>
      </c>
      <c r="I93" s="26">
        <f t="shared" si="2"/>
        <v>3.5809570347057167E-3</v>
      </c>
      <c r="J93" s="18">
        <f t="shared" si="3"/>
        <v>110</v>
      </c>
    </row>
    <row r="94" spans="1:10" ht="15" customHeight="1" x14ac:dyDescent="0.35">
      <c r="A94" s="11">
        <v>92</v>
      </c>
      <c r="B94" s="8" t="str">
        <f>Normalisasi!B94</f>
        <v>Sales Associate</v>
      </c>
      <c r="C94" s="25">
        <f>Normalisasi!H94</f>
        <v>2.8</v>
      </c>
      <c r="D94" s="25">
        <f>Normalisasi!I94</f>
        <v>1</v>
      </c>
      <c r="E94" s="25">
        <f>Normalisasi!J94</f>
        <v>2.08</v>
      </c>
      <c r="F94" s="25">
        <f>Normalisasi!K94</f>
        <v>2.4294011616262767</v>
      </c>
      <c r="G94" s="25">
        <f>Normalisasi!L94</f>
        <v>10</v>
      </c>
      <c r="H94" s="27">
        <f>MAX(C94,0.000000001)^'Asumsi &amp; Bobot'!$E$6*MAX(D94,0.000000001)^'Asumsi &amp; Bobot'!$E$7*MAX(E94,0.000000001)^'Asumsi &amp; Bobot'!$E$8*MAX(F94,0.000000001)^'Asumsi &amp; Bobot'!$E$9*MAX(G94,0.000000001)^'Asumsi &amp; Bobot'!$E$10</f>
        <v>1.6244991431656515</v>
      </c>
      <c r="I94" s="27">
        <f t="shared" si="2"/>
        <v>1.6784261860232532E-3</v>
      </c>
      <c r="J94" s="22">
        <f t="shared" si="3"/>
        <v>287</v>
      </c>
    </row>
    <row r="95" spans="1:10" ht="15" customHeight="1" x14ac:dyDescent="0.35">
      <c r="A95" s="14">
        <v>93</v>
      </c>
      <c r="B95" s="17" t="str">
        <f>Normalisasi!B95</f>
        <v>Supply Chain Manager</v>
      </c>
      <c r="C95" s="21">
        <f>Normalisasi!H95</f>
        <v>7</v>
      </c>
      <c r="D95" s="21">
        <f>Normalisasi!I95</f>
        <v>1</v>
      </c>
      <c r="E95" s="21">
        <f>Normalisasi!J95</f>
        <v>7.48</v>
      </c>
      <c r="F95" s="21">
        <f>Normalisasi!K95</f>
        <v>4.7726817544562383</v>
      </c>
      <c r="G95" s="21">
        <f>Normalisasi!L95</f>
        <v>1</v>
      </c>
      <c r="H95" s="26">
        <f>MAX(C95,0.000000001)^'Asumsi &amp; Bobot'!$E$6*MAX(D95,0.000000001)^'Asumsi &amp; Bobot'!$E$7*MAX(E95,0.000000001)^'Asumsi &amp; Bobot'!$E$8*MAX(F95,0.000000001)^'Asumsi &amp; Bobot'!$E$9*MAX(G95,0.000000001)^'Asumsi &amp; Bobot'!$E$10</f>
        <v>2.3432491983347328</v>
      </c>
      <c r="I95" s="26">
        <f t="shared" si="2"/>
        <v>2.4210359429299886E-3</v>
      </c>
      <c r="J95" s="18">
        <f t="shared" si="3"/>
        <v>171</v>
      </c>
    </row>
    <row r="96" spans="1:10" ht="15" customHeight="1" x14ac:dyDescent="0.35">
      <c r="A96" s="11">
        <v>94</v>
      </c>
      <c r="B96" s="8" t="str">
        <f>Normalisasi!B96</f>
        <v>Senior Marketing Manager</v>
      </c>
      <c r="C96" s="25">
        <f>Normalisasi!H96</f>
        <v>9.6999999999999993</v>
      </c>
      <c r="D96" s="25">
        <f>Normalisasi!I96</f>
        <v>5.5</v>
      </c>
      <c r="E96" s="25">
        <f>Normalisasi!J96</f>
        <v>10</v>
      </c>
      <c r="F96" s="25">
        <f>Normalisasi!K96</f>
        <v>7.1159623472862004</v>
      </c>
      <c r="G96" s="25">
        <f>Normalisasi!L96</f>
        <v>10</v>
      </c>
      <c r="H96" s="27">
        <f>MAX(C96,0.000000001)^'Asumsi &amp; Bobot'!$E$6*MAX(D96,0.000000001)^'Asumsi &amp; Bobot'!$E$7*MAX(E96,0.000000001)^'Asumsi &amp; Bobot'!$E$8*MAX(F96,0.000000001)^'Asumsi &amp; Bobot'!$E$9*MAX(G96,0.000000001)^'Asumsi &amp; Bobot'!$E$10</f>
        <v>4.7990275729817977</v>
      </c>
      <c r="I96" s="27">
        <f t="shared" si="2"/>
        <v>4.9583365924366716E-3</v>
      </c>
      <c r="J96" s="22">
        <f t="shared" si="3"/>
        <v>8</v>
      </c>
    </row>
    <row r="97" spans="1:10" ht="15" customHeight="1" x14ac:dyDescent="0.35">
      <c r="A97" s="14">
        <v>95</v>
      </c>
      <c r="B97" s="17" t="str">
        <f>Normalisasi!B97</f>
        <v>Business Analyst</v>
      </c>
      <c r="C97" s="21">
        <f>Normalisasi!H97</f>
        <v>4</v>
      </c>
      <c r="D97" s="21">
        <f>Normalisasi!I97</f>
        <v>1</v>
      </c>
      <c r="E97" s="21">
        <f>Normalisasi!J97</f>
        <v>3.52</v>
      </c>
      <c r="F97" s="21">
        <f>Normalisasi!K97</f>
        <v>3.691167634688564</v>
      </c>
      <c r="G97" s="21">
        <f>Normalisasi!L97</f>
        <v>1</v>
      </c>
      <c r="H97" s="26">
        <f>MAX(C97,0.000000001)^'Asumsi &amp; Bobot'!$E$6*MAX(D97,0.000000001)^'Asumsi &amp; Bobot'!$E$7*MAX(E97,0.000000001)^'Asumsi &amp; Bobot'!$E$8*MAX(F97,0.000000001)^'Asumsi &amp; Bobot'!$E$9*MAX(G97,0.000000001)^'Asumsi &amp; Bobot'!$E$10</f>
        <v>1.6864406045722911</v>
      </c>
      <c r="I97" s="26">
        <f t="shared" si="2"/>
        <v>1.7424238626381258E-3</v>
      </c>
      <c r="J97" s="18">
        <f t="shared" si="3"/>
        <v>271</v>
      </c>
    </row>
    <row r="98" spans="1:10" ht="15" customHeight="1" x14ac:dyDescent="0.35">
      <c r="A98" s="11">
        <v>96</v>
      </c>
      <c r="B98" s="8" t="str">
        <f>Normalisasi!B98</f>
        <v>Training Specialist</v>
      </c>
      <c r="C98" s="25">
        <f>Normalisasi!H98</f>
        <v>5.8</v>
      </c>
      <c r="D98" s="25">
        <f>Normalisasi!I98</f>
        <v>1</v>
      </c>
      <c r="E98" s="25">
        <f>Normalisasi!J98</f>
        <v>5.32</v>
      </c>
      <c r="F98" s="25">
        <f>Normalisasi!K98</f>
        <v>3.3306629280993389</v>
      </c>
      <c r="G98" s="25">
        <f>Normalisasi!L98</f>
        <v>10</v>
      </c>
      <c r="H98" s="27">
        <f>MAX(C98,0.000000001)^'Asumsi &amp; Bobot'!$E$6*MAX(D98,0.000000001)^'Asumsi &amp; Bobot'!$E$7*MAX(E98,0.000000001)^'Asumsi &amp; Bobot'!$E$8*MAX(F98,0.000000001)^'Asumsi &amp; Bobot'!$E$9*MAX(G98,0.000000001)^'Asumsi &amp; Bobot'!$E$10</f>
        <v>2.464064385814511</v>
      </c>
      <c r="I98" s="27">
        <f t="shared" si="2"/>
        <v>2.5458617239643901E-3</v>
      </c>
      <c r="J98" s="22">
        <f t="shared" si="3"/>
        <v>150</v>
      </c>
    </row>
    <row r="99" spans="1:10" ht="15" customHeight="1" x14ac:dyDescent="0.35">
      <c r="A99" s="14">
        <v>97</v>
      </c>
      <c r="B99" s="17" t="str">
        <f>Normalisasi!B99</f>
        <v>Research Scientist</v>
      </c>
      <c r="C99" s="21">
        <f>Normalisasi!H99</f>
        <v>8.1999999999999993</v>
      </c>
      <c r="D99" s="21">
        <f>Normalisasi!I99</f>
        <v>10</v>
      </c>
      <c r="E99" s="21">
        <f>Normalisasi!J99</f>
        <v>8.92</v>
      </c>
      <c r="F99" s="21">
        <f>Normalisasi!K99</f>
        <v>6.7554576406969762</v>
      </c>
      <c r="G99" s="21">
        <f>Normalisasi!L99</f>
        <v>1</v>
      </c>
      <c r="H99" s="26">
        <f>MAX(C99,0.000000001)^'Asumsi &amp; Bobot'!$E$6*MAX(D99,0.000000001)^'Asumsi &amp; Bobot'!$E$7*MAX(E99,0.000000001)^'Asumsi &amp; Bobot'!$E$8*MAX(F99,0.000000001)^'Asumsi &amp; Bobot'!$E$9*MAX(G99,0.000000001)^'Asumsi &amp; Bobot'!$E$10</f>
        <v>4.5247760106102612</v>
      </c>
      <c r="I99" s="26">
        <f t="shared" si="2"/>
        <v>4.6749809466188653E-3</v>
      </c>
      <c r="J99" s="18">
        <f t="shared" si="3"/>
        <v>30</v>
      </c>
    </row>
    <row r="100" spans="1:10" ht="15" customHeight="1" x14ac:dyDescent="0.35">
      <c r="A100" s="11">
        <v>98</v>
      </c>
      <c r="B100" s="8" t="str">
        <f>Normalisasi!B100</f>
        <v>Junior Software Developer</v>
      </c>
      <c r="C100" s="25">
        <f>Normalisasi!H100</f>
        <v>1.9</v>
      </c>
      <c r="D100" s="25">
        <f>Normalisasi!I100</f>
        <v>1</v>
      </c>
      <c r="E100" s="25">
        <f>Normalisasi!J100</f>
        <v>1.3599999999999999</v>
      </c>
      <c r="F100" s="25">
        <f>Normalisasi!K100</f>
        <v>2.2491488083316646</v>
      </c>
      <c r="G100" s="25">
        <f>Normalisasi!L100</f>
        <v>1</v>
      </c>
      <c r="H100" s="27">
        <f>MAX(C100,0.000000001)^'Asumsi &amp; Bobot'!$E$6*MAX(D100,0.000000001)^'Asumsi &amp; Bobot'!$E$7*MAX(E100,0.000000001)^'Asumsi &amp; Bobot'!$E$8*MAX(F100,0.000000001)^'Asumsi &amp; Bobot'!$E$9*MAX(G100,0.000000001)^'Asumsi &amp; Bobot'!$E$10</f>
        <v>1.1306493332174674</v>
      </c>
      <c r="I100" s="27">
        <f t="shared" si="2"/>
        <v>1.1681824863162868E-3</v>
      </c>
      <c r="J100" s="22">
        <f t="shared" si="3"/>
        <v>368</v>
      </c>
    </row>
    <row r="101" spans="1:10" ht="15" customHeight="1" x14ac:dyDescent="0.35">
      <c r="A101" s="14">
        <v>99</v>
      </c>
      <c r="B101" s="17" t="str">
        <f>Normalisasi!B101</f>
        <v>Public Relations Manager</v>
      </c>
      <c r="C101" s="21">
        <f>Normalisasi!H101</f>
        <v>5.5</v>
      </c>
      <c r="D101" s="21">
        <f>Normalisasi!I101</f>
        <v>5.5</v>
      </c>
      <c r="E101" s="21">
        <f>Normalisasi!J101</f>
        <v>4.5999999999999996</v>
      </c>
      <c r="F101" s="21">
        <f>Normalisasi!K101</f>
        <v>4.2319246945724007</v>
      </c>
      <c r="G101" s="21">
        <f>Normalisasi!L101</f>
        <v>10</v>
      </c>
      <c r="H101" s="26">
        <f>MAX(C101,0.000000001)^'Asumsi &amp; Bobot'!$E$6*MAX(D101,0.000000001)^'Asumsi &amp; Bobot'!$E$7*MAX(E101,0.000000001)^'Asumsi &amp; Bobot'!$E$8*MAX(F101,0.000000001)^'Asumsi &amp; Bobot'!$E$9*MAX(G101,0.000000001)^'Asumsi &amp; Bobot'!$E$10</f>
        <v>3.5444605053275637</v>
      </c>
      <c r="I101" s="26">
        <f t="shared" si="2"/>
        <v>3.662122785656871E-3</v>
      </c>
      <c r="J101" s="18">
        <f t="shared" si="3"/>
        <v>103</v>
      </c>
    </row>
    <row r="102" spans="1:10" ht="15" customHeight="1" x14ac:dyDescent="0.35">
      <c r="A102" s="11">
        <v>100</v>
      </c>
      <c r="B102" s="8" t="str">
        <f>Normalisasi!B102</f>
        <v>Operations Analyst</v>
      </c>
      <c r="C102" s="25">
        <f>Normalisasi!H102</f>
        <v>7.6</v>
      </c>
      <c r="D102" s="25">
        <f>Normalisasi!I102</f>
        <v>1</v>
      </c>
      <c r="E102" s="25">
        <f>Normalisasi!J102</f>
        <v>8.1999999999999993</v>
      </c>
      <c r="F102" s="25">
        <f>Normalisasi!K102</f>
        <v>4.9529341077508509</v>
      </c>
      <c r="G102" s="25">
        <f>Normalisasi!L102</f>
        <v>1</v>
      </c>
      <c r="H102" s="27">
        <f>MAX(C102,0.000000001)^'Asumsi &amp; Bobot'!$E$6*MAX(D102,0.000000001)^'Asumsi &amp; Bobot'!$E$7*MAX(E102,0.000000001)^'Asumsi &amp; Bobot'!$E$8*MAX(F102,0.000000001)^'Asumsi &amp; Bobot'!$E$9*MAX(G102,0.000000001)^'Asumsi &amp; Bobot'!$E$10</f>
        <v>2.4441001398285382</v>
      </c>
      <c r="I102" s="27">
        <f t="shared" si="2"/>
        <v>2.5252347427880449E-3</v>
      </c>
      <c r="J102" s="22">
        <f t="shared" si="3"/>
        <v>154</v>
      </c>
    </row>
    <row r="103" spans="1:10" ht="15" customHeight="1" x14ac:dyDescent="0.35">
      <c r="A103" s="14">
        <v>101</v>
      </c>
      <c r="B103" s="17" t="str">
        <f>Normalisasi!B103</f>
        <v>Event Coordinator</v>
      </c>
      <c r="C103" s="21">
        <f>Normalisasi!H103</f>
        <v>3.4</v>
      </c>
      <c r="D103" s="21">
        <f>Normalisasi!I103</f>
        <v>1</v>
      </c>
      <c r="E103" s="21">
        <f>Normalisasi!J103</f>
        <v>2.8</v>
      </c>
      <c r="F103" s="21">
        <f>Normalisasi!K103</f>
        <v>2.6096535149208893</v>
      </c>
      <c r="G103" s="21">
        <f>Normalisasi!L103</f>
        <v>10</v>
      </c>
      <c r="H103" s="26">
        <f>MAX(C103,0.000000001)^'Asumsi &amp; Bobot'!$E$6*MAX(D103,0.000000001)^'Asumsi &amp; Bobot'!$E$7*MAX(E103,0.000000001)^'Asumsi &amp; Bobot'!$E$8*MAX(F103,0.000000001)^'Asumsi &amp; Bobot'!$E$9*MAX(G103,0.000000001)^'Asumsi &amp; Bobot'!$E$10</f>
        <v>1.8470163812724016</v>
      </c>
      <c r="I103" s="26">
        <f t="shared" si="2"/>
        <v>1.9083301295563628E-3</v>
      </c>
      <c r="J103" s="18">
        <f t="shared" si="3"/>
        <v>233</v>
      </c>
    </row>
    <row r="104" spans="1:10" ht="15" customHeight="1" x14ac:dyDescent="0.35">
      <c r="A104" s="11">
        <v>102</v>
      </c>
      <c r="B104" s="8" t="str">
        <f>Normalisasi!B104</f>
        <v>Product Marketing Manager</v>
      </c>
      <c r="C104" s="25">
        <f>Normalisasi!H104</f>
        <v>4.5999999999999996</v>
      </c>
      <c r="D104" s="25">
        <f>Normalisasi!I104</f>
        <v>5.5</v>
      </c>
      <c r="E104" s="25">
        <f>Normalisasi!J104</f>
        <v>3.88</v>
      </c>
      <c r="F104" s="25">
        <f>Normalisasi!K104</f>
        <v>4.4121770478670133</v>
      </c>
      <c r="G104" s="25">
        <f>Normalisasi!L104</f>
        <v>1</v>
      </c>
      <c r="H104" s="27">
        <f>MAX(C104,0.000000001)^'Asumsi &amp; Bobot'!$E$6*MAX(D104,0.000000001)^'Asumsi &amp; Bobot'!$E$7*MAX(E104,0.000000001)^'Asumsi &amp; Bobot'!$E$8*MAX(F104,0.000000001)^'Asumsi &amp; Bobot'!$E$9*MAX(G104,0.000000001)^'Asumsi &amp; Bobot'!$E$10</f>
        <v>2.7561644998470336</v>
      </c>
      <c r="I104" s="27">
        <f t="shared" si="2"/>
        <v>2.8476584238242503E-3</v>
      </c>
      <c r="J104" s="22">
        <f t="shared" si="3"/>
        <v>135</v>
      </c>
    </row>
    <row r="105" spans="1:10" ht="15" customHeight="1" x14ac:dyDescent="0.35">
      <c r="A105" s="14">
        <v>103</v>
      </c>
      <c r="B105" s="17" t="str">
        <f>Normalisasi!B105</f>
        <v>Senior HR Manager</v>
      </c>
      <c r="C105" s="21">
        <f>Normalisasi!H105</f>
        <v>8.8000000000000007</v>
      </c>
      <c r="D105" s="21">
        <f>Normalisasi!I105</f>
        <v>5.5</v>
      </c>
      <c r="E105" s="21">
        <f>Normalisasi!J105</f>
        <v>7.84</v>
      </c>
      <c r="F105" s="21">
        <f>Normalisasi!K105</f>
        <v>6.3949529341077511</v>
      </c>
      <c r="G105" s="21">
        <f>Normalisasi!L105</f>
        <v>10</v>
      </c>
      <c r="H105" s="26">
        <f>MAX(C105,0.000000001)^'Asumsi &amp; Bobot'!$E$6*MAX(D105,0.000000001)^'Asumsi &amp; Bobot'!$E$7*MAX(E105,0.000000001)^'Asumsi &amp; Bobot'!$E$8*MAX(F105,0.000000001)^'Asumsi &amp; Bobot'!$E$9*MAX(G105,0.000000001)^'Asumsi &amp; Bobot'!$E$10</f>
        <v>4.4020363610315254</v>
      </c>
      <c r="I105" s="26">
        <f t="shared" si="2"/>
        <v>4.5481668188411062E-3</v>
      </c>
      <c r="J105" s="18">
        <f t="shared" si="3"/>
        <v>41</v>
      </c>
    </row>
    <row r="106" spans="1:10" ht="15" customHeight="1" x14ac:dyDescent="0.35">
      <c r="A106" s="11">
        <v>104</v>
      </c>
      <c r="B106" s="8" t="str">
        <f>Normalisasi!B106</f>
        <v>Junior Web Developer</v>
      </c>
      <c r="C106" s="25">
        <f>Normalisasi!H106</f>
        <v>4</v>
      </c>
      <c r="D106" s="25">
        <f>Normalisasi!I106</f>
        <v>1</v>
      </c>
      <c r="E106" s="25">
        <f>Normalisasi!J106</f>
        <v>2.8</v>
      </c>
      <c r="F106" s="25">
        <f>Normalisasi!K106</f>
        <v>2.7899058682155018</v>
      </c>
      <c r="G106" s="25">
        <f>Normalisasi!L106</f>
        <v>1</v>
      </c>
      <c r="H106" s="27">
        <f>MAX(C106,0.000000001)^'Asumsi &amp; Bobot'!$E$6*MAX(D106,0.000000001)^'Asumsi &amp; Bobot'!$E$7*MAX(E106,0.000000001)^'Asumsi &amp; Bobot'!$E$8*MAX(F106,0.000000001)^'Asumsi &amp; Bobot'!$E$9*MAX(G106,0.000000001)^'Asumsi &amp; Bobot'!$E$10</f>
        <v>1.6220070418007595</v>
      </c>
      <c r="I106" s="27">
        <f t="shared" si="2"/>
        <v>1.675851356601732E-3</v>
      </c>
      <c r="J106" s="22">
        <f t="shared" si="3"/>
        <v>288</v>
      </c>
    </row>
    <row r="107" spans="1:10" ht="15" customHeight="1" x14ac:dyDescent="0.35">
      <c r="A107" s="14">
        <v>105</v>
      </c>
      <c r="B107" s="17" t="str">
        <f>Normalisasi!B107</f>
        <v>Senior Project Coordinator</v>
      </c>
      <c r="C107" s="21">
        <f>Normalisasi!H107</f>
        <v>5.8</v>
      </c>
      <c r="D107" s="21">
        <f>Normalisasi!I107</f>
        <v>5.5</v>
      </c>
      <c r="E107" s="21">
        <f>Normalisasi!J107</f>
        <v>5.68</v>
      </c>
      <c r="F107" s="21">
        <f>Normalisasi!K107</f>
        <v>3.8714199879831765</v>
      </c>
      <c r="G107" s="21">
        <f>Normalisasi!L107</f>
        <v>10</v>
      </c>
      <c r="H107" s="26">
        <f>MAX(C107,0.000000001)^'Asumsi &amp; Bobot'!$E$6*MAX(D107,0.000000001)^'Asumsi &amp; Bobot'!$E$7*MAX(E107,0.000000001)^'Asumsi &amp; Bobot'!$E$8*MAX(F107,0.000000001)^'Asumsi &amp; Bobot'!$E$9*MAX(G107,0.000000001)^'Asumsi &amp; Bobot'!$E$10</f>
        <v>3.8890995148881311</v>
      </c>
      <c r="I107" s="26">
        <f t="shared" si="2"/>
        <v>4.0182024676961919E-3</v>
      </c>
      <c r="J107" s="18">
        <f t="shared" si="3"/>
        <v>71</v>
      </c>
    </row>
    <row r="108" spans="1:10" ht="15" customHeight="1" x14ac:dyDescent="0.35">
      <c r="A108" s="11">
        <v>106</v>
      </c>
      <c r="B108" s="8" t="str">
        <f>Normalisasi!B108</f>
        <v>Chief Data Officer</v>
      </c>
      <c r="C108" s="25">
        <f>Normalisasi!H108</f>
        <v>7.3</v>
      </c>
      <c r="D108" s="25">
        <f>Normalisasi!I108</f>
        <v>10</v>
      </c>
      <c r="E108" s="25">
        <f>Normalisasi!J108</f>
        <v>6.76</v>
      </c>
      <c r="F108" s="25">
        <f>Normalisasi!K108</f>
        <v>8.9184858802323248</v>
      </c>
      <c r="G108" s="25">
        <f>Normalisasi!L108</f>
        <v>1</v>
      </c>
      <c r="H108" s="27">
        <f>MAX(C108,0.000000001)^'Asumsi &amp; Bobot'!$E$6*MAX(D108,0.000000001)^'Asumsi &amp; Bobot'!$E$7*MAX(E108,0.000000001)^'Asumsi &amp; Bobot'!$E$8*MAX(F108,0.000000001)^'Asumsi &amp; Bobot'!$E$9*MAX(G108,0.000000001)^'Asumsi &amp; Bobot'!$E$10</f>
        <v>3.8839591495061243</v>
      </c>
      <c r="I108" s="27">
        <f t="shared" si="2"/>
        <v>4.0128914622092485E-3</v>
      </c>
      <c r="J108" s="22">
        <f t="shared" si="3"/>
        <v>72</v>
      </c>
    </row>
    <row r="109" spans="1:10" ht="15" customHeight="1" x14ac:dyDescent="0.35">
      <c r="A109" s="14">
        <v>107</v>
      </c>
      <c r="B109" s="17" t="str">
        <f>Normalisasi!B109</f>
        <v>Digital Content Producer</v>
      </c>
      <c r="C109" s="21">
        <f>Normalisasi!H109</f>
        <v>3.1</v>
      </c>
      <c r="D109" s="21">
        <f>Normalisasi!I109</f>
        <v>1</v>
      </c>
      <c r="E109" s="21">
        <f>Normalisasi!J109</f>
        <v>2.08</v>
      </c>
      <c r="F109" s="21">
        <f>Normalisasi!K109</f>
        <v>2.7899058682155018</v>
      </c>
      <c r="G109" s="21">
        <f>Normalisasi!L109</f>
        <v>10</v>
      </c>
      <c r="H109" s="26">
        <f>MAX(C109,0.000000001)^'Asumsi &amp; Bobot'!$E$6*MAX(D109,0.000000001)^'Asumsi &amp; Bobot'!$E$7*MAX(E109,0.000000001)^'Asumsi &amp; Bobot'!$E$8*MAX(F109,0.000000001)^'Asumsi &amp; Bobot'!$E$9*MAX(G109,0.000000001)^'Asumsi &amp; Bobot'!$E$10</f>
        <v>1.6276018583194403</v>
      </c>
      <c r="I109" s="26">
        <f t="shared" si="2"/>
        <v>1.6816318992326441E-3</v>
      </c>
      <c r="J109" s="18">
        <f t="shared" si="3"/>
        <v>286</v>
      </c>
    </row>
    <row r="110" spans="1:10" ht="15" customHeight="1" x14ac:dyDescent="0.35">
      <c r="A110" s="11">
        <v>108</v>
      </c>
      <c r="B110" s="8" t="str">
        <f>Normalisasi!B110</f>
        <v>IT Support Specialist</v>
      </c>
      <c r="C110" s="25">
        <f>Normalisasi!H110</f>
        <v>4.9000000000000004</v>
      </c>
      <c r="D110" s="25">
        <f>Normalisasi!I110</f>
        <v>1</v>
      </c>
      <c r="E110" s="25">
        <f>Normalisasi!J110</f>
        <v>3.52</v>
      </c>
      <c r="F110" s="25">
        <f>Normalisasi!K110</f>
        <v>3.1504105748047264</v>
      </c>
      <c r="G110" s="25">
        <f>Normalisasi!L110</f>
        <v>1</v>
      </c>
      <c r="H110" s="27">
        <f>MAX(C110,0.000000001)^'Asumsi &amp; Bobot'!$E$6*MAX(D110,0.000000001)^'Asumsi &amp; Bobot'!$E$7*MAX(E110,0.000000001)^'Asumsi &amp; Bobot'!$E$8*MAX(F110,0.000000001)^'Asumsi &amp; Bobot'!$E$9*MAX(G110,0.000000001)^'Asumsi &amp; Bobot'!$E$10</f>
        <v>1.7937881456245546</v>
      </c>
      <c r="I110" s="27">
        <f t="shared" si="2"/>
        <v>1.8533349238506417E-3</v>
      </c>
      <c r="J110" s="22">
        <f t="shared" si="3"/>
        <v>247</v>
      </c>
    </row>
    <row r="111" spans="1:10" ht="15" customHeight="1" x14ac:dyDescent="0.35">
      <c r="A111" s="14">
        <v>109</v>
      </c>
      <c r="B111" s="17" t="str">
        <f>Normalisasi!B111</f>
        <v>Senior Marketing Analyst</v>
      </c>
      <c r="C111" s="21">
        <f>Normalisasi!H111</f>
        <v>6.4</v>
      </c>
      <c r="D111" s="21">
        <f>Normalisasi!I111</f>
        <v>5.5</v>
      </c>
      <c r="E111" s="21">
        <f>Normalisasi!J111</f>
        <v>6.04</v>
      </c>
      <c r="F111" s="21">
        <f>Normalisasi!K111</f>
        <v>4.5924294011616258</v>
      </c>
      <c r="G111" s="21">
        <f>Normalisasi!L111</f>
        <v>10</v>
      </c>
      <c r="H111" s="26">
        <f>MAX(C111,0.000000001)^'Asumsi &amp; Bobot'!$E$6*MAX(D111,0.000000001)^'Asumsi &amp; Bobot'!$E$7*MAX(E111,0.000000001)^'Asumsi &amp; Bobot'!$E$8*MAX(F111,0.000000001)^'Asumsi &amp; Bobot'!$E$9*MAX(G111,0.000000001)^'Asumsi &amp; Bobot'!$E$10</f>
        <v>3.9573642522898882</v>
      </c>
      <c r="I111" s="26">
        <f t="shared" si="2"/>
        <v>4.0887333284351113E-3</v>
      </c>
      <c r="J111" s="18">
        <f t="shared" si="3"/>
        <v>67</v>
      </c>
    </row>
    <row r="112" spans="1:10" ht="15" customHeight="1" x14ac:dyDescent="0.35">
      <c r="A112" s="11">
        <v>110</v>
      </c>
      <c r="B112" s="8" t="str">
        <f>Normalisasi!B112</f>
        <v>Customer Success Manager</v>
      </c>
      <c r="C112" s="25">
        <f>Normalisasi!H112</f>
        <v>2.5</v>
      </c>
      <c r="D112" s="25">
        <f>Normalisasi!I112</f>
        <v>1</v>
      </c>
      <c r="E112" s="25">
        <f>Normalisasi!J112</f>
        <v>1.72</v>
      </c>
      <c r="F112" s="25">
        <f>Normalisasi!K112</f>
        <v>2.4294011616262767</v>
      </c>
      <c r="G112" s="25">
        <f>Normalisasi!L112</f>
        <v>1</v>
      </c>
      <c r="H112" s="27">
        <f>MAX(C112,0.000000001)^'Asumsi &amp; Bobot'!$E$6*MAX(D112,0.000000001)^'Asumsi &amp; Bobot'!$E$7*MAX(E112,0.000000001)^'Asumsi &amp; Bobot'!$E$8*MAX(F112,0.000000001)^'Asumsi &amp; Bobot'!$E$9*MAX(G112,0.000000001)^'Asumsi &amp; Bobot'!$E$10</f>
        <v>1.2784907377815737</v>
      </c>
      <c r="I112" s="27">
        <f t="shared" si="2"/>
        <v>1.3209316495539497E-3</v>
      </c>
      <c r="J112" s="22">
        <f t="shared" si="3"/>
        <v>347</v>
      </c>
    </row>
    <row r="113" spans="1:10" ht="15" customHeight="1" x14ac:dyDescent="0.35">
      <c r="A113" s="14">
        <v>111</v>
      </c>
      <c r="B113" s="17" t="str">
        <f>Normalisasi!B113</f>
        <v>Senior Graphic Designer</v>
      </c>
      <c r="C113" s="21">
        <f>Normalisasi!H113</f>
        <v>6.7</v>
      </c>
      <c r="D113" s="21">
        <f>Normalisasi!I113</f>
        <v>5.5</v>
      </c>
      <c r="E113" s="21">
        <f>Normalisasi!J113</f>
        <v>6.4</v>
      </c>
      <c r="F113" s="21">
        <f>Normalisasi!K113</f>
        <v>4.9529341077508509</v>
      </c>
      <c r="G113" s="21">
        <f>Normalisasi!L113</f>
        <v>10</v>
      </c>
      <c r="H113" s="26">
        <f>MAX(C113,0.000000001)^'Asumsi &amp; Bobot'!$E$6*MAX(D113,0.000000001)^'Asumsi &amp; Bobot'!$E$7*MAX(E113,0.000000001)^'Asumsi &amp; Bobot'!$E$8*MAX(F113,0.000000001)^'Asumsi &amp; Bobot'!$E$9*MAX(G113,0.000000001)^'Asumsi &amp; Bobot'!$E$10</f>
        <v>4.0307883594897165</v>
      </c>
      <c r="I113" s="26">
        <f t="shared" si="2"/>
        <v>4.1645948299496149E-3</v>
      </c>
      <c r="J113" s="18">
        <f t="shared" si="3"/>
        <v>60</v>
      </c>
    </row>
    <row r="114" spans="1:10" ht="15" customHeight="1" x14ac:dyDescent="0.35">
      <c r="A114" s="11">
        <v>112</v>
      </c>
      <c r="B114" s="8" t="str">
        <f>Normalisasi!B114</f>
        <v>Software Project Manager</v>
      </c>
      <c r="C114" s="25">
        <f>Normalisasi!H114</f>
        <v>5.2</v>
      </c>
      <c r="D114" s="25">
        <f>Normalisasi!I114</f>
        <v>1</v>
      </c>
      <c r="E114" s="25">
        <f>Normalisasi!J114</f>
        <v>4.24</v>
      </c>
      <c r="F114" s="25">
        <f>Normalisasi!K114</f>
        <v>4.4121770478670133</v>
      </c>
      <c r="G114" s="25">
        <f>Normalisasi!L114</f>
        <v>1</v>
      </c>
      <c r="H114" s="27">
        <f>MAX(C114,0.000000001)^'Asumsi &amp; Bobot'!$E$6*MAX(D114,0.000000001)^'Asumsi &amp; Bobot'!$E$7*MAX(E114,0.000000001)^'Asumsi &amp; Bobot'!$E$8*MAX(F114,0.000000001)^'Asumsi &amp; Bobot'!$E$9*MAX(G114,0.000000001)^'Asumsi &amp; Bobot'!$E$10</f>
        <v>1.846583270993162</v>
      </c>
      <c r="I114" s="27">
        <f t="shared" si="2"/>
        <v>1.907882641703156E-3</v>
      </c>
      <c r="J114" s="22">
        <f t="shared" si="3"/>
        <v>235</v>
      </c>
    </row>
    <row r="115" spans="1:10" ht="15" customHeight="1" x14ac:dyDescent="0.35">
      <c r="A115" s="14">
        <v>113</v>
      </c>
      <c r="B115" s="17" t="str">
        <f>Normalisasi!B115</f>
        <v>Supply Chain Analyst</v>
      </c>
      <c r="C115" s="21">
        <f>Normalisasi!H115</f>
        <v>9.1</v>
      </c>
      <c r="D115" s="21">
        <f>Normalisasi!I115</f>
        <v>1</v>
      </c>
      <c r="E115" s="21">
        <f>Normalisasi!J115</f>
        <v>8.92</v>
      </c>
      <c r="F115" s="21">
        <f>Normalisasi!K115</f>
        <v>5.673943520929301</v>
      </c>
      <c r="G115" s="21">
        <f>Normalisasi!L115</f>
        <v>10</v>
      </c>
      <c r="H115" s="26">
        <f>MAX(C115,0.000000001)^'Asumsi &amp; Bobot'!$E$6*MAX(D115,0.000000001)^'Asumsi &amp; Bobot'!$E$7*MAX(E115,0.000000001)^'Asumsi &amp; Bobot'!$E$8*MAX(F115,0.000000001)^'Asumsi &amp; Bobot'!$E$9*MAX(G115,0.000000001)^'Asumsi &amp; Bobot'!$E$10</f>
        <v>2.9836318103960298</v>
      </c>
      <c r="I115" s="26">
        <f t="shared" si="2"/>
        <v>3.0826767629202824E-3</v>
      </c>
      <c r="J115" s="18">
        <f t="shared" si="3"/>
        <v>120</v>
      </c>
    </row>
    <row r="116" spans="1:10" ht="15" customHeight="1" x14ac:dyDescent="0.35">
      <c r="A116" s="11">
        <v>114</v>
      </c>
      <c r="B116" s="8" t="str">
        <f>Normalisasi!B116</f>
        <v>Senior Business Analyst</v>
      </c>
      <c r="C116" s="25">
        <f>Normalisasi!H116</f>
        <v>3.7</v>
      </c>
      <c r="D116" s="25">
        <f>Normalisasi!I116</f>
        <v>5.5</v>
      </c>
      <c r="E116" s="25">
        <f>Normalisasi!J116</f>
        <v>3.16</v>
      </c>
      <c r="F116" s="25">
        <f>Normalisasi!K116</f>
        <v>4.2319246945724007</v>
      </c>
      <c r="G116" s="25">
        <f>Normalisasi!L116</f>
        <v>1</v>
      </c>
      <c r="H116" s="27">
        <f>MAX(C116,0.000000001)^'Asumsi &amp; Bobot'!$E$6*MAX(D116,0.000000001)^'Asumsi &amp; Bobot'!$E$7*MAX(E116,0.000000001)^'Asumsi &amp; Bobot'!$E$8*MAX(F116,0.000000001)^'Asumsi &amp; Bobot'!$E$9*MAX(G116,0.000000001)^'Asumsi &amp; Bobot'!$E$10</f>
        <v>2.477960421299485</v>
      </c>
      <c r="I116" s="27">
        <f t="shared" si="2"/>
        <v>2.560219053691532E-3</v>
      </c>
      <c r="J116" s="22">
        <f t="shared" si="3"/>
        <v>148</v>
      </c>
    </row>
    <row r="117" spans="1:10" ht="15" customHeight="1" x14ac:dyDescent="0.35">
      <c r="A117" s="14">
        <v>115</v>
      </c>
      <c r="B117" s="17" t="str">
        <f>Normalisasi!B117</f>
        <v>Junior Marketing Analyst</v>
      </c>
      <c r="C117" s="21">
        <f>Normalisasi!H117</f>
        <v>1</v>
      </c>
      <c r="D117" s="21">
        <f>Normalisasi!I117</f>
        <v>1</v>
      </c>
      <c r="E117" s="21">
        <f>Normalisasi!J117</f>
        <v>1.18</v>
      </c>
      <c r="F117" s="21">
        <f>Normalisasi!K117</f>
        <v>2.2491488083316646</v>
      </c>
      <c r="G117" s="21">
        <f>Normalisasi!L117</f>
        <v>10</v>
      </c>
      <c r="H117" s="26">
        <f>MAX(C117,0.000000001)^'Asumsi &amp; Bobot'!$E$6*MAX(D117,0.000000001)^'Asumsi &amp; Bobot'!$E$7*MAX(E117,0.000000001)^'Asumsi &amp; Bobot'!$E$8*MAX(F117,0.000000001)^'Asumsi &amp; Bobot'!$E$9*MAX(G117,0.000000001)^'Asumsi &amp; Bobot'!$E$10</f>
        <v>1.1058381719233024</v>
      </c>
      <c r="I117" s="26">
        <f t="shared" si="2"/>
        <v>1.142547691126046E-3</v>
      </c>
      <c r="J117" s="18">
        <f t="shared" si="3"/>
        <v>370</v>
      </c>
    </row>
    <row r="118" spans="1:10" ht="15" customHeight="1" x14ac:dyDescent="0.35">
      <c r="A118" s="11">
        <v>116</v>
      </c>
      <c r="B118" s="8" t="str">
        <f>Normalisasi!B118</f>
        <v>Senior Financial Analyst</v>
      </c>
      <c r="C118" s="25">
        <f>Normalisasi!H118</f>
        <v>3.4</v>
      </c>
      <c r="D118" s="25">
        <f>Normalisasi!I118</f>
        <v>5.5</v>
      </c>
      <c r="E118" s="25">
        <f>Normalisasi!J118</f>
        <v>3.16</v>
      </c>
      <c r="F118" s="25">
        <f>Normalisasi!K118</f>
        <v>4.4121770478670133</v>
      </c>
      <c r="G118" s="25">
        <f>Normalisasi!L118</f>
        <v>1</v>
      </c>
      <c r="H118" s="27">
        <f>MAX(C118,0.000000001)^'Asumsi &amp; Bobot'!$E$6*MAX(D118,0.000000001)^'Asumsi &amp; Bobot'!$E$7*MAX(E118,0.000000001)^'Asumsi &amp; Bobot'!$E$8*MAX(F118,0.000000001)^'Asumsi &amp; Bobot'!$E$9*MAX(G118,0.000000001)^'Asumsi &amp; Bobot'!$E$10</f>
        <v>2.4228943135821481</v>
      </c>
      <c r="I118" s="27">
        <f t="shared" si="2"/>
        <v>2.503324965723564E-3</v>
      </c>
      <c r="J118" s="22">
        <f t="shared" si="3"/>
        <v>157</v>
      </c>
    </row>
    <row r="119" spans="1:10" ht="15" customHeight="1" x14ac:dyDescent="0.35">
      <c r="A119" s="14">
        <v>117</v>
      </c>
      <c r="B119" s="17" t="str">
        <f>Normalisasi!B119</f>
        <v>Office Manager</v>
      </c>
      <c r="C119" s="21">
        <f>Normalisasi!H119</f>
        <v>6.1</v>
      </c>
      <c r="D119" s="21">
        <f>Normalisasi!I119</f>
        <v>1</v>
      </c>
      <c r="E119" s="21">
        <f>Normalisasi!J119</f>
        <v>6.4</v>
      </c>
      <c r="F119" s="21">
        <f>Normalisasi!K119</f>
        <v>3.3306629280993389</v>
      </c>
      <c r="G119" s="21">
        <f>Normalisasi!L119</f>
        <v>10</v>
      </c>
      <c r="H119" s="26">
        <f>MAX(C119,0.000000001)^'Asumsi &amp; Bobot'!$E$6*MAX(D119,0.000000001)^'Asumsi &amp; Bobot'!$E$7*MAX(E119,0.000000001)^'Asumsi &amp; Bobot'!$E$8*MAX(F119,0.000000001)^'Asumsi &amp; Bobot'!$E$9*MAX(G119,0.000000001)^'Asumsi &amp; Bobot'!$E$10</f>
        <v>2.6472108483551744</v>
      </c>
      <c r="I119" s="26">
        <f t="shared" si="2"/>
        <v>2.7350879355626011E-3</v>
      </c>
      <c r="J119" s="18">
        <f t="shared" si="3"/>
        <v>140</v>
      </c>
    </row>
    <row r="120" spans="1:10" ht="15" customHeight="1" x14ac:dyDescent="0.35">
      <c r="A120" s="11">
        <v>118</v>
      </c>
      <c r="B120" s="8" t="str">
        <f>Normalisasi!B120</f>
        <v>Principal Engineer</v>
      </c>
      <c r="C120" s="25">
        <f>Normalisasi!H120</f>
        <v>8.5</v>
      </c>
      <c r="D120" s="25">
        <f>Normalisasi!I120</f>
        <v>10</v>
      </c>
      <c r="E120" s="25">
        <f>Normalisasi!J120</f>
        <v>8.1999999999999993</v>
      </c>
      <c r="F120" s="25">
        <f>Normalisasi!K120</f>
        <v>7.1159623472862004</v>
      </c>
      <c r="G120" s="25">
        <f>Normalisasi!L120</f>
        <v>1</v>
      </c>
      <c r="H120" s="27">
        <f>MAX(C120,0.000000001)^'Asumsi &amp; Bobot'!$E$6*MAX(D120,0.000000001)^'Asumsi &amp; Bobot'!$E$7*MAX(E120,0.000000001)^'Asumsi &amp; Bobot'!$E$8*MAX(F120,0.000000001)^'Asumsi &amp; Bobot'!$E$9*MAX(G120,0.000000001)^'Asumsi &amp; Bobot'!$E$10</f>
        <v>4.4007218243258581</v>
      </c>
      <c r="I120" s="27">
        <f t="shared" si="2"/>
        <v>4.5468086446379605E-3</v>
      </c>
      <c r="J120" s="22">
        <f t="shared" si="3"/>
        <v>42</v>
      </c>
    </row>
    <row r="121" spans="1:10" ht="15" customHeight="1" x14ac:dyDescent="0.35">
      <c r="A121" s="14">
        <v>119</v>
      </c>
      <c r="B121" s="17" t="str">
        <f>Normalisasi!B121</f>
        <v>Junior HR Generalist</v>
      </c>
      <c r="C121" s="21">
        <f>Normalisasi!H121</f>
        <v>2.8</v>
      </c>
      <c r="D121" s="21">
        <f>Normalisasi!I121</f>
        <v>1</v>
      </c>
      <c r="E121" s="21">
        <f>Normalisasi!J121</f>
        <v>2.08</v>
      </c>
      <c r="F121" s="21">
        <f>Normalisasi!K121</f>
        <v>2.6096535149208893</v>
      </c>
      <c r="G121" s="21">
        <f>Normalisasi!L121</f>
        <v>10</v>
      </c>
      <c r="H121" s="26">
        <f>MAX(C121,0.000000001)^'Asumsi &amp; Bobot'!$E$6*MAX(D121,0.000000001)^'Asumsi &amp; Bobot'!$E$7*MAX(E121,0.000000001)^'Asumsi &amp; Bobot'!$E$8*MAX(F121,0.000000001)^'Asumsi &amp; Bobot'!$E$9*MAX(G121,0.000000001)^'Asumsi &amp; Bobot'!$E$10</f>
        <v>1.6090702476537577</v>
      </c>
      <c r="I121" s="26">
        <f t="shared" si="2"/>
        <v>1.6624851112879873E-3</v>
      </c>
      <c r="J121" s="18">
        <f t="shared" si="3"/>
        <v>291</v>
      </c>
    </row>
    <row r="122" spans="1:10" ht="15" customHeight="1" x14ac:dyDescent="0.35">
      <c r="A122" s="11">
        <v>120</v>
      </c>
      <c r="B122" s="8" t="str">
        <f>Normalisasi!B122</f>
        <v>Senior Product Manager</v>
      </c>
      <c r="C122" s="25">
        <f>Normalisasi!H122</f>
        <v>4.5999999999999996</v>
      </c>
      <c r="D122" s="25">
        <f>Normalisasi!I122</f>
        <v>5.5</v>
      </c>
      <c r="E122" s="25">
        <f>Normalisasi!J122</f>
        <v>4.5999999999999996</v>
      </c>
      <c r="F122" s="25">
        <f>Normalisasi!K122</f>
        <v>5.3134388143400759</v>
      </c>
      <c r="G122" s="25">
        <f>Normalisasi!L122</f>
        <v>1</v>
      </c>
      <c r="H122" s="27">
        <f>MAX(C122,0.000000001)^'Asumsi &amp; Bobot'!$E$6*MAX(D122,0.000000001)^'Asumsi &amp; Bobot'!$E$7*MAX(E122,0.000000001)^'Asumsi &amp; Bobot'!$E$8*MAX(F122,0.000000001)^'Asumsi &amp; Bobot'!$E$9*MAX(G122,0.000000001)^'Asumsi &amp; Bobot'!$E$10</f>
        <v>2.8456673843914788</v>
      </c>
      <c r="I122" s="27">
        <f t="shared" si="2"/>
        <v>2.9401324554517907E-3</v>
      </c>
      <c r="J122" s="22">
        <f t="shared" si="3"/>
        <v>131</v>
      </c>
    </row>
    <row r="123" spans="1:10" ht="15" customHeight="1" x14ac:dyDescent="0.35">
      <c r="A123" s="14">
        <v>121</v>
      </c>
      <c r="B123" s="17" t="str">
        <f>Normalisasi!B123</f>
        <v>Sales Manager</v>
      </c>
      <c r="C123" s="21">
        <f>Normalisasi!H123</f>
        <v>6.7</v>
      </c>
      <c r="D123" s="21">
        <f>Normalisasi!I123</f>
        <v>1</v>
      </c>
      <c r="E123" s="21">
        <f>Normalisasi!J123</f>
        <v>7.12</v>
      </c>
      <c r="F123" s="21">
        <f>Normalisasi!K123</f>
        <v>4.5924294011616258</v>
      </c>
      <c r="G123" s="21">
        <f>Normalisasi!L123</f>
        <v>10</v>
      </c>
      <c r="H123" s="26">
        <f>MAX(C123,0.000000001)^'Asumsi &amp; Bobot'!$E$6*MAX(D123,0.000000001)^'Asumsi &amp; Bobot'!$E$7*MAX(E123,0.000000001)^'Asumsi &amp; Bobot'!$E$8*MAX(F123,0.000000001)^'Asumsi &amp; Bobot'!$E$9*MAX(G123,0.000000001)^'Asumsi &amp; Bobot'!$E$10</f>
        <v>2.6777454699046519</v>
      </c>
      <c r="I123" s="26">
        <f t="shared" si="2"/>
        <v>2.7666361875912739E-3</v>
      </c>
      <c r="J123" s="18">
        <f t="shared" si="3"/>
        <v>139</v>
      </c>
    </row>
    <row r="124" spans="1:10" ht="15" customHeight="1" x14ac:dyDescent="0.35">
      <c r="A124" s="11">
        <v>122</v>
      </c>
      <c r="B124" s="8" t="str">
        <f>Normalisasi!B124</f>
        <v>Director of Marketing</v>
      </c>
      <c r="C124" s="25">
        <f>Normalisasi!H124</f>
        <v>10</v>
      </c>
      <c r="D124" s="25">
        <f>Normalisasi!I124</f>
        <v>5.5</v>
      </c>
      <c r="E124" s="25">
        <f>Normalisasi!J124</f>
        <v>10</v>
      </c>
      <c r="F124" s="25">
        <f>Normalisasi!K124</f>
        <v>7.4764670538754254</v>
      </c>
      <c r="G124" s="25">
        <f>Normalisasi!L124</f>
        <v>1</v>
      </c>
      <c r="H124" s="27">
        <f>MAX(C124,0.000000001)^'Asumsi &amp; Bobot'!$E$6*MAX(D124,0.000000001)^'Asumsi &amp; Bobot'!$E$7*MAX(E124,0.000000001)^'Asumsi &amp; Bobot'!$E$8*MAX(F124,0.000000001)^'Asumsi &amp; Bobot'!$E$9*MAX(G124,0.000000001)^'Asumsi &amp; Bobot'!$E$10</f>
        <v>4.1140591108233107</v>
      </c>
      <c r="I124" s="27">
        <f t="shared" si="2"/>
        <v>4.2506298458227397E-3</v>
      </c>
      <c r="J124" s="22">
        <f t="shared" si="3"/>
        <v>56</v>
      </c>
    </row>
    <row r="125" spans="1:10" ht="15" customHeight="1" x14ac:dyDescent="0.35">
      <c r="A125" s="14">
        <v>123</v>
      </c>
      <c r="B125" s="17" t="str">
        <f>Normalisasi!B125</f>
        <v>Junior Operations Analyst</v>
      </c>
      <c r="C125" s="21">
        <f>Normalisasi!H125</f>
        <v>4</v>
      </c>
      <c r="D125" s="21">
        <f>Normalisasi!I125</f>
        <v>1</v>
      </c>
      <c r="E125" s="21">
        <f>Normalisasi!J125</f>
        <v>2.8</v>
      </c>
      <c r="F125" s="21">
        <f>Normalisasi!K125</f>
        <v>2.7899058682155018</v>
      </c>
      <c r="G125" s="21">
        <f>Normalisasi!L125</f>
        <v>10</v>
      </c>
      <c r="H125" s="26">
        <f>MAX(C125,0.000000001)^'Asumsi &amp; Bobot'!$E$6*MAX(D125,0.000000001)^'Asumsi &amp; Bobot'!$E$7*MAX(E125,0.000000001)^'Asumsi &amp; Bobot'!$E$8*MAX(F125,0.000000001)^'Asumsi &amp; Bobot'!$E$9*MAX(G125,0.000000001)^'Asumsi &amp; Bobot'!$E$10</f>
        <v>1.8911213688506028</v>
      </c>
      <c r="I125" s="26">
        <f t="shared" si="2"/>
        <v>1.9538992308987171E-3</v>
      </c>
      <c r="J125" s="18">
        <f t="shared" si="3"/>
        <v>228</v>
      </c>
    </row>
    <row r="126" spans="1:10" ht="15" customHeight="1" x14ac:dyDescent="0.35">
      <c r="A126" s="11">
        <v>124</v>
      </c>
      <c r="B126" s="8" t="str">
        <f>Normalisasi!B126</f>
        <v>Customer Service Manager</v>
      </c>
      <c r="C126" s="25">
        <f>Normalisasi!H126</f>
        <v>5.5</v>
      </c>
      <c r="D126" s="25">
        <f>Normalisasi!I126</f>
        <v>1</v>
      </c>
      <c r="E126" s="25">
        <f>Normalisasi!J126</f>
        <v>4.96</v>
      </c>
      <c r="F126" s="25">
        <f>Normalisasi!K126</f>
        <v>3.8714199879831765</v>
      </c>
      <c r="G126" s="25">
        <f>Normalisasi!L126</f>
        <v>1</v>
      </c>
      <c r="H126" s="27">
        <f>MAX(C126,0.000000001)^'Asumsi &amp; Bobot'!$E$6*MAX(D126,0.000000001)^'Asumsi &amp; Bobot'!$E$7*MAX(E126,0.000000001)^'Asumsi &amp; Bobot'!$E$8*MAX(F126,0.000000001)^'Asumsi &amp; Bobot'!$E$9*MAX(G126,0.000000001)^'Asumsi &amp; Bobot'!$E$10</f>
        <v>2.0022442647194119</v>
      </c>
      <c r="I126" s="27">
        <f t="shared" si="2"/>
        <v>2.0687109739997264E-3</v>
      </c>
      <c r="J126" s="22">
        <f t="shared" si="3"/>
        <v>222</v>
      </c>
    </row>
    <row r="127" spans="1:10" ht="15" customHeight="1" x14ac:dyDescent="0.35">
      <c r="A127" s="14">
        <v>125</v>
      </c>
      <c r="B127" s="17" t="str">
        <f>Normalisasi!B127</f>
        <v>Senior Scientist</v>
      </c>
      <c r="C127" s="21">
        <f>Normalisasi!H127</f>
        <v>7.3</v>
      </c>
      <c r="D127" s="21">
        <f>Normalisasi!I127</f>
        <v>10</v>
      </c>
      <c r="E127" s="21">
        <f>Normalisasi!J127</f>
        <v>6.76</v>
      </c>
      <c r="F127" s="21">
        <f>Normalisasi!K127</f>
        <v>6.0344482275185261</v>
      </c>
      <c r="G127" s="21">
        <f>Normalisasi!L127</f>
        <v>10</v>
      </c>
      <c r="H127" s="26">
        <f>MAX(C127,0.000000001)^'Asumsi &amp; Bobot'!$E$6*MAX(D127,0.000000001)^'Asumsi &amp; Bobot'!$E$7*MAX(E127,0.000000001)^'Asumsi &amp; Bobot'!$E$8*MAX(F127,0.000000001)^'Asumsi &amp; Bobot'!$E$9*MAX(G127,0.000000001)^'Asumsi &amp; Bobot'!$E$10</f>
        <v>4.7704768784964005</v>
      </c>
      <c r="I127" s="26">
        <f t="shared" si="2"/>
        <v>4.9288381261216579E-3</v>
      </c>
      <c r="J127" s="18">
        <f t="shared" si="3"/>
        <v>9</v>
      </c>
    </row>
    <row r="128" spans="1:10" ht="15" customHeight="1" x14ac:dyDescent="0.35">
      <c r="A128" s="11">
        <v>126</v>
      </c>
      <c r="B128" s="8" t="str">
        <f>Normalisasi!B128</f>
        <v>Junior Accountant</v>
      </c>
      <c r="C128" s="25">
        <f>Normalisasi!H128</f>
        <v>1.9</v>
      </c>
      <c r="D128" s="25">
        <f>Normalisasi!I128</f>
        <v>1</v>
      </c>
      <c r="E128" s="25">
        <f>Normalisasi!J128</f>
        <v>1.72</v>
      </c>
      <c r="F128" s="25">
        <f>Normalisasi!K128</f>
        <v>2.4294011616262767</v>
      </c>
      <c r="G128" s="25">
        <f>Normalisasi!L128</f>
        <v>1</v>
      </c>
      <c r="H128" s="27">
        <f>MAX(C128,0.000000001)^'Asumsi &amp; Bobot'!$E$6*MAX(D128,0.000000001)^'Asumsi &amp; Bobot'!$E$7*MAX(E128,0.000000001)^'Asumsi &amp; Bobot'!$E$8*MAX(F128,0.000000001)^'Asumsi &amp; Bobot'!$E$9*MAX(G128,0.000000001)^'Asumsi &amp; Bobot'!$E$10</f>
        <v>1.2102087942873145</v>
      </c>
      <c r="I128" s="27">
        <f t="shared" si="2"/>
        <v>1.2503830115472886E-3</v>
      </c>
      <c r="J128" s="22">
        <f t="shared" si="3"/>
        <v>365</v>
      </c>
    </row>
    <row r="129" spans="1:10" ht="15" customHeight="1" x14ac:dyDescent="0.35">
      <c r="A129" s="14">
        <v>127</v>
      </c>
      <c r="B129" s="17" t="str">
        <f>Normalisasi!B129</f>
        <v>Senior HR Generalist</v>
      </c>
      <c r="C129" s="21">
        <f>Normalisasi!H129</f>
        <v>5.2</v>
      </c>
      <c r="D129" s="21">
        <f>Normalisasi!I129</f>
        <v>5.5</v>
      </c>
      <c r="E129" s="21">
        <f>Normalisasi!J129</f>
        <v>4.24</v>
      </c>
      <c r="F129" s="21">
        <f>Normalisasi!K129</f>
        <v>4.4121770478670133</v>
      </c>
      <c r="G129" s="21">
        <f>Normalisasi!L129</f>
        <v>10</v>
      </c>
      <c r="H129" s="26">
        <f>MAX(C129,0.000000001)^'Asumsi &amp; Bobot'!$E$6*MAX(D129,0.000000001)^'Asumsi &amp; Bobot'!$E$7*MAX(E129,0.000000001)^'Asumsi &amp; Bobot'!$E$8*MAX(F129,0.000000001)^'Asumsi &amp; Bobot'!$E$9*MAX(G129,0.000000001)^'Asumsi &amp; Bobot'!$E$10</f>
        <v>3.3920763112234851</v>
      </c>
      <c r="I129" s="26">
        <f t="shared" si="2"/>
        <v>3.504680029964229E-3</v>
      </c>
      <c r="J129" s="18">
        <f t="shared" si="3"/>
        <v>111</v>
      </c>
    </row>
    <row r="130" spans="1:10" ht="15" customHeight="1" x14ac:dyDescent="0.35">
      <c r="A130" s="11">
        <v>128</v>
      </c>
      <c r="B130" s="8" t="str">
        <f>Normalisasi!B130</f>
        <v>Sales Operations Manager</v>
      </c>
      <c r="C130" s="25">
        <f>Normalisasi!H130</f>
        <v>7.6</v>
      </c>
      <c r="D130" s="25">
        <f>Normalisasi!I130</f>
        <v>1</v>
      </c>
      <c r="E130" s="25">
        <f>Normalisasi!J130</f>
        <v>7.48</v>
      </c>
      <c r="F130" s="25">
        <f>Normalisasi!K130</f>
        <v>4.9529341077508509</v>
      </c>
      <c r="G130" s="25">
        <f>Normalisasi!L130</f>
        <v>1</v>
      </c>
      <c r="H130" s="27">
        <f>MAX(C130,0.000000001)^'Asumsi &amp; Bobot'!$E$6*MAX(D130,0.000000001)^'Asumsi &amp; Bobot'!$E$7*MAX(E130,0.000000001)^'Asumsi &amp; Bobot'!$E$8*MAX(F130,0.000000001)^'Asumsi &amp; Bobot'!$E$9*MAX(G130,0.000000001)^'Asumsi &amp; Bobot'!$E$10</f>
        <v>2.3703632816222835</v>
      </c>
      <c r="I130" s="27">
        <f t="shared" si="2"/>
        <v>2.4490501081521122E-3</v>
      </c>
      <c r="J130" s="22">
        <f t="shared" si="3"/>
        <v>167</v>
      </c>
    </row>
    <row r="131" spans="1:10" ht="15" customHeight="1" x14ac:dyDescent="0.35">
      <c r="A131" s="14">
        <v>129</v>
      </c>
      <c r="B131" s="17" t="str">
        <f>Normalisasi!B131</f>
        <v>Marketing Coordinator</v>
      </c>
      <c r="C131" s="21">
        <f>Normalisasi!H131</f>
        <v>3.7</v>
      </c>
      <c r="D131" s="21">
        <f>Normalisasi!I131</f>
        <v>1</v>
      </c>
      <c r="E131" s="21">
        <f>Normalisasi!J131</f>
        <v>2.44</v>
      </c>
      <c r="F131" s="21">
        <f>Normalisasi!K131</f>
        <v>2.7899058682155018</v>
      </c>
      <c r="G131" s="21">
        <f>Normalisasi!L131</f>
        <v>10</v>
      </c>
      <c r="H131" s="26">
        <f>MAX(C131,0.000000001)^'Asumsi &amp; Bobot'!$E$6*MAX(D131,0.000000001)^'Asumsi &amp; Bobot'!$E$7*MAX(E131,0.000000001)^'Asumsi &amp; Bobot'!$E$8*MAX(F131,0.000000001)^'Asumsi &amp; Bobot'!$E$9*MAX(G131,0.000000001)^'Asumsi &amp; Bobot'!$E$10</f>
        <v>1.7783818344369808</v>
      </c>
      <c r="I131" s="26">
        <f t="shared" ref="I131:I194" si="4">H131/SUM($H$3:$H$375)</f>
        <v>1.8374171831512796E-3</v>
      </c>
      <c r="J131" s="18">
        <f t="shared" ref="J131:J194" si="5">RANK(I131,$I$3:$I$375,0)</f>
        <v>251</v>
      </c>
    </row>
    <row r="132" spans="1:10" ht="15" customHeight="1" x14ac:dyDescent="0.35">
      <c r="A132" s="11">
        <v>130</v>
      </c>
      <c r="B132" s="8" t="str">
        <f>Normalisasi!B132</f>
        <v>Senior Software Developer</v>
      </c>
      <c r="C132" s="25">
        <f>Normalisasi!H132</f>
        <v>4.3</v>
      </c>
      <c r="D132" s="25">
        <f>Normalisasi!I132</f>
        <v>5.5</v>
      </c>
      <c r="E132" s="25">
        <f>Normalisasi!J132</f>
        <v>3.88</v>
      </c>
      <c r="F132" s="25">
        <f>Normalisasi!K132</f>
        <v>4.7726817544562383</v>
      </c>
      <c r="G132" s="25">
        <f>Normalisasi!L132</f>
        <v>1</v>
      </c>
      <c r="H132" s="27">
        <f>MAX(C132,0.000000001)^'Asumsi &amp; Bobot'!$E$6*MAX(D132,0.000000001)^'Asumsi &amp; Bobot'!$E$7*MAX(E132,0.000000001)^'Asumsi &amp; Bobot'!$E$8*MAX(F132,0.000000001)^'Asumsi &amp; Bobot'!$E$9*MAX(G132,0.000000001)^'Asumsi &amp; Bobot'!$E$10</f>
        <v>2.6909109132057476</v>
      </c>
      <c r="I132" s="27">
        <f t="shared" si="4"/>
        <v>2.7802386723202611E-3</v>
      </c>
      <c r="J132" s="22">
        <f t="shared" si="5"/>
        <v>138</v>
      </c>
    </row>
    <row r="133" spans="1:10" ht="15" customHeight="1" x14ac:dyDescent="0.35">
      <c r="A133" s="14">
        <v>131</v>
      </c>
      <c r="B133" s="17" t="str">
        <f>Normalisasi!B133</f>
        <v>Director of Operations</v>
      </c>
      <c r="C133" s="21">
        <f>Normalisasi!H133</f>
        <v>9.1</v>
      </c>
      <c r="D133" s="21">
        <f>Normalisasi!I133</f>
        <v>5.5</v>
      </c>
      <c r="E133" s="21">
        <f>Normalisasi!J133</f>
        <v>8.5599999999999987</v>
      </c>
      <c r="F133" s="21">
        <f>Normalisasi!K133</f>
        <v>6.7554576406969762</v>
      </c>
      <c r="G133" s="21">
        <f>Normalisasi!L133</f>
        <v>10</v>
      </c>
      <c r="H133" s="26">
        <f>MAX(C133,0.000000001)^'Asumsi &amp; Bobot'!$E$6*MAX(D133,0.000000001)^'Asumsi &amp; Bobot'!$E$7*MAX(E133,0.000000001)^'Asumsi &amp; Bobot'!$E$8*MAX(F133,0.000000001)^'Asumsi &amp; Bobot'!$E$9*MAX(G133,0.000000001)^'Asumsi &amp; Bobot'!$E$10</f>
        <v>4.5301120813630673</v>
      </c>
      <c r="I133" s="26">
        <f t="shared" si="4"/>
        <v>4.6804941541324927E-3</v>
      </c>
      <c r="J133" s="18">
        <f t="shared" si="5"/>
        <v>29</v>
      </c>
    </row>
    <row r="134" spans="1:10" ht="15" customHeight="1" x14ac:dyDescent="0.35">
      <c r="A134" s="11">
        <v>132</v>
      </c>
      <c r="B134" s="8" t="str">
        <f>Normalisasi!B134</f>
        <v>Junior Web Designer</v>
      </c>
      <c r="C134" s="25">
        <f>Normalisasi!H134</f>
        <v>2.8</v>
      </c>
      <c r="D134" s="25">
        <f>Normalisasi!I134</f>
        <v>1</v>
      </c>
      <c r="E134" s="25">
        <f>Normalisasi!J134</f>
        <v>2.08</v>
      </c>
      <c r="F134" s="25">
        <f>Normalisasi!K134</f>
        <v>2.6096535149208893</v>
      </c>
      <c r="G134" s="25">
        <f>Normalisasi!L134</f>
        <v>1</v>
      </c>
      <c r="H134" s="27">
        <f>MAX(C134,0.000000001)^'Asumsi &amp; Bobot'!$E$6*MAX(D134,0.000000001)^'Asumsi &amp; Bobot'!$E$7*MAX(E134,0.000000001)^'Asumsi &amp; Bobot'!$E$8*MAX(F134,0.000000001)^'Asumsi &amp; Bobot'!$E$9*MAX(G134,0.000000001)^'Asumsi &amp; Bobot'!$E$10</f>
        <v>1.3800929519572622</v>
      </c>
      <c r="I134" s="27">
        <f t="shared" si="4"/>
        <v>1.4259066614201329E-3</v>
      </c>
      <c r="J134" s="22">
        <f t="shared" si="5"/>
        <v>339</v>
      </c>
    </row>
    <row r="135" spans="1:10" ht="15" customHeight="1" x14ac:dyDescent="0.35">
      <c r="A135" s="14">
        <v>133</v>
      </c>
      <c r="B135" s="17" t="str">
        <f>Normalisasi!B135</f>
        <v>Senior Training Specialist</v>
      </c>
      <c r="C135" s="21">
        <f>Normalisasi!H135</f>
        <v>6.1</v>
      </c>
      <c r="D135" s="21">
        <f>Normalisasi!I135</f>
        <v>5.5</v>
      </c>
      <c r="E135" s="21">
        <f>Normalisasi!J135</f>
        <v>5.32</v>
      </c>
      <c r="F135" s="21">
        <f>Normalisasi!K135</f>
        <v>4.5924294011616258</v>
      </c>
      <c r="G135" s="21">
        <f>Normalisasi!L135</f>
        <v>10</v>
      </c>
      <c r="H135" s="26">
        <f>MAX(C135,0.000000001)^'Asumsi &amp; Bobot'!$E$6*MAX(D135,0.000000001)^'Asumsi &amp; Bobot'!$E$7*MAX(E135,0.000000001)^'Asumsi &amp; Bobot'!$E$8*MAX(F135,0.000000001)^'Asumsi &amp; Bobot'!$E$9*MAX(G135,0.000000001)^'Asumsi &amp; Bobot'!$E$10</f>
        <v>3.7571704370833747</v>
      </c>
      <c r="I135" s="26">
        <f t="shared" si="4"/>
        <v>3.8818938584753238E-3</v>
      </c>
      <c r="J135" s="18">
        <f t="shared" si="5"/>
        <v>83</v>
      </c>
    </row>
    <row r="136" spans="1:10" ht="15" customHeight="1" x14ac:dyDescent="0.35">
      <c r="A136" s="11">
        <v>134</v>
      </c>
      <c r="B136" s="8" t="str">
        <f>Normalisasi!B136</f>
        <v>Senior Research Scientist</v>
      </c>
      <c r="C136" s="25">
        <f>Normalisasi!H136</f>
        <v>8.1999999999999993</v>
      </c>
      <c r="D136" s="25">
        <f>Normalisasi!I136</f>
        <v>10</v>
      </c>
      <c r="E136" s="25">
        <f>Normalisasi!J136</f>
        <v>8.92</v>
      </c>
      <c r="F136" s="25">
        <f>Normalisasi!K136</f>
        <v>6.7554576406969762</v>
      </c>
      <c r="G136" s="25">
        <f>Normalisasi!L136</f>
        <v>1</v>
      </c>
      <c r="H136" s="27">
        <f>MAX(C136,0.000000001)^'Asumsi &amp; Bobot'!$E$6*MAX(D136,0.000000001)^'Asumsi &amp; Bobot'!$E$7*MAX(E136,0.000000001)^'Asumsi &amp; Bobot'!$E$8*MAX(F136,0.000000001)^'Asumsi &amp; Bobot'!$E$9*MAX(G136,0.000000001)^'Asumsi &amp; Bobot'!$E$10</f>
        <v>4.5247760106102612</v>
      </c>
      <c r="I136" s="27">
        <f t="shared" si="4"/>
        <v>4.6749809466188653E-3</v>
      </c>
      <c r="J136" s="22">
        <f t="shared" si="5"/>
        <v>30</v>
      </c>
    </row>
    <row r="137" spans="1:10" ht="15" customHeight="1" x14ac:dyDescent="0.35">
      <c r="A137" s="14">
        <v>135</v>
      </c>
      <c r="B137" s="17" t="str">
        <f>Normalisasi!B137</f>
        <v>Junior Sales Representative</v>
      </c>
      <c r="C137" s="21">
        <f>Normalisasi!H137</f>
        <v>2.2000000000000002</v>
      </c>
      <c r="D137" s="21">
        <f>Normalisasi!I137</f>
        <v>1</v>
      </c>
      <c r="E137" s="21">
        <f>Normalisasi!J137</f>
        <v>1.3599999999999999</v>
      </c>
      <c r="F137" s="21">
        <f>Normalisasi!K137</f>
        <v>2.2491488083316646</v>
      </c>
      <c r="G137" s="21">
        <f>Normalisasi!L137</f>
        <v>1</v>
      </c>
      <c r="H137" s="26">
        <f>MAX(C137,0.000000001)^'Asumsi &amp; Bobot'!$E$6*MAX(D137,0.000000001)^'Asumsi &amp; Bobot'!$E$7*MAX(E137,0.000000001)^'Asumsi &amp; Bobot'!$E$8*MAX(F137,0.000000001)^'Asumsi &amp; Bobot'!$E$9*MAX(G137,0.000000001)^'Asumsi &amp; Bobot'!$E$10</f>
        <v>1.1642915537681384</v>
      </c>
      <c r="I137" s="26">
        <f t="shared" si="4"/>
        <v>1.2029414975264626E-3</v>
      </c>
      <c r="J137" s="18">
        <f t="shared" si="5"/>
        <v>366</v>
      </c>
    </row>
    <row r="138" spans="1:10" ht="15" customHeight="1" x14ac:dyDescent="0.35">
      <c r="A138" s="11">
        <v>136</v>
      </c>
      <c r="B138" s="8" t="str">
        <f>Normalisasi!B138</f>
        <v>Administrative Assistant</v>
      </c>
      <c r="C138" s="25">
        <f>Normalisasi!H138</f>
        <v>5.8</v>
      </c>
      <c r="D138" s="25">
        <f>Normalisasi!I138</f>
        <v>1</v>
      </c>
      <c r="E138" s="25">
        <f>Normalisasi!J138</f>
        <v>4.5999999999999996</v>
      </c>
      <c r="F138" s="25">
        <f>Normalisasi!K138</f>
        <v>2.9701582215101139</v>
      </c>
      <c r="G138" s="25">
        <f>Normalisasi!L138</f>
        <v>10</v>
      </c>
      <c r="H138" s="27">
        <f>MAX(C138,0.000000001)^'Asumsi &amp; Bobot'!$E$6*MAX(D138,0.000000001)^'Asumsi &amp; Bobot'!$E$7*MAX(E138,0.000000001)^'Asumsi &amp; Bobot'!$E$8*MAX(F138,0.000000001)^'Asumsi &amp; Bobot'!$E$9*MAX(G138,0.000000001)^'Asumsi &amp; Bobot'!$E$10</f>
        <v>2.3836048729579038</v>
      </c>
      <c r="I138" s="27">
        <f t="shared" si="4"/>
        <v>2.4627312687337138E-3</v>
      </c>
      <c r="J138" s="22">
        <f t="shared" si="5"/>
        <v>163</v>
      </c>
    </row>
    <row r="139" spans="1:10" ht="15" customHeight="1" x14ac:dyDescent="0.35">
      <c r="A139" s="14">
        <v>137</v>
      </c>
      <c r="B139" s="17" t="str">
        <f>Normalisasi!B139</f>
        <v>Senior Project Manager</v>
      </c>
      <c r="C139" s="21">
        <f>Normalisasi!H139</f>
        <v>7.9</v>
      </c>
      <c r="D139" s="21">
        <f>Normalisasi!I139</f>
        <v>5.5</v>
      </c>
      <c r="E139" s="21">
        <f>Normalisasi!J139</f>
        <v>7.84</v>
      </c>
      <c r="F139" s="21">
        <f>Normalisasi!K139</f>
        <v>6.0344482275185261</v>
      </c>
      <c r="G139" s="21">
        <f>Normalisasi!L139</f>
        <v>1</v>
      </c>
      <c r="H139" s="26">
        <f>MAX(C139,0.000000001)^'Asumsi &amp; Bobot'!$E$6*MAX(D139,0.000000001)^'Asumsi &amp; Bobot'!$E$7*MAX(E139,0.000000001)^'Asumsi &amp; Bobot'!$E$8*MAX(F139,0.000000001)^'Asumsi &amp; Bobot'!$E$9*MAX(G139,0.000000001)^'Asumsi &amp; Bobot'!$E$10</f>
        <v>3.7237096844818951</v>
      </c>
      <c r="I139" s="26">
        <f t="shared" si="4"/>
        <v>3.847322339243293E-3</v>
      </c>
      <c r="J139" s="18">
        <f t="shared" si="5"/>
        <v>87</v>
      </c>
    </row>
    <row r="140" spans="1:10" ht="15" customHeight="1" x14ac:dyDescent="0.35">
      <c r="A140" s="11">
        <v>138</v>
      </c>
      <c r="B140" s="8" t="str">
        <f>Normalisasi!B140</f>
        <v>Junior Marketing Manager</v>
      </c>
      <c r="C140" s="25">
        <f>Normalisasi!H140</f>
        <v>3.1</v>
      </c>
      <c r="D140" s="25">
        <f>Normalisasi!I140</f>
        <v>1</v>
      </c>
      <c r="E140" s="25">
        <f>Normalisasi!J140</f>
        <v>2.44</v>
      </c>
      <c r="F140" s="25">
        <f>Normalisasi!K140</f>
        <v>2.7899058682155018</v>
      </c>
      <c r="G140" s="25">
        <f>Normalisasi!L140</f>
        <v>10</v>
      </c>
      <c r="H140" s="27">
        <f>MAX(C140,0.000000001)^'Asumsi &amp; Bobot'!$E$6*MAX(D140,0.000000001)^'Asumsi &amp; Bobot'!$E$7*MAX(E140,0.000000001)^'Asumsi &amp; Bobot'!$E$8*MAX(F140,0.000000001)^'Asumsi &amp; Bobot'!$E$9*MAX(G140,0.000000001)^'Asumsi &amp; Bobot'!$E$10</f>
        <v>1.7165521712598704</v>
      </c>
      <c r="I140" s="27">
        <f t="shared" si="4"/>
        <v>1.773535016031615E-3</v>
      </c>
      <c r="J140" s="22">
        <f t="shared" si="5"/>
        <v>266</v>
      </c>
    </row>
    <row r="141" spans="1:10" ht="15" customHeight="1" x14ac:dyDescent="0.35">
      <c r="A141" s="14">
        <v>139</v>
      </c>
      <c r="B141" s="17" t="str">
        <f>Normalisasi!B141</f>
        <v>Junior Data Analyst</v>
      </c>
      <c r="C141" s="21">
        <f>Normalisasi!H141</f>
        <v>4.9000000000000004</v>
      </c>
      <c r="D141" s="21">
        <f>Normalisasi!I141</f>
        <v>1</v>
      </c>
      <c r="E141" s="21">
        <f>Normalisasi!J141</f>
        <v>3.52</v>
      </c>
      <c r="F141" s="21">
        <f>Normalisasi!K141</f>
        <v>3.1504105748047264</v>
      </c>
      <c r="G141" s="21">
        <f>Normalisasi!L141</f>
        <v>1</v>
      </c>
      <c r="H141" s="26">
        <f>MAX(C141,0.000000001)^'Asumsi &amp; Bobot'!$E$6*MAX(D141,0.000000001)^'Asumsi &amp; Bobot'!$E$7*MAX(E141,0.000000001)^'Asumsi &amp; Bobot'!$E$8*MAX(F141,0.000000001)^'Asumsi &amp; Bobot'!$E$9*MAX(G141,0.000000001)^'Asumsi &amp; Bobot'!$E$10</f>
        <v>1.7937881456245546</v>
      </c>
      <c r="I141" s="26">
        <f t="shared" si="4"/>
        <v>1.8533349238506417E-3</v>
      </c>
      <c r="J141" s="18">
        <f t="shared" si="5"/>
        <v>247</v>
      </c>
    </row>
    <row r="142" spans="1:10" ht="15" customHeight="1" x14ac:dyDescent="0.35">
      <c r="A142" s="11">
        <v>140</v>
      </c>
      <c r="B142" s="8" t="str">
        <f>Normalisasi!B142</f>
        <v>Senior Product Marketing Manager</v>
      </c>
      <c r="C142" s="25">
        <f>Normalisasi!H142</f>
        <v>7</v>
      </c>
      <c r="D142" s="25">
        <f>Normalisasi!I142</f>
        <v>5.5</v>
      </c>
      <c r="E142" s="25">
        <f>Normalisasi!J142</f>
        <v>6.04</v>
      </c>
      <c r="F142" s="25">
        <f>Normalisasi!K142</f>
        <v>5.3134388143400759</v>
      </c>
      <c r="G142" s="25">
        <f>Normalisasi!L142</f>
        <v>10</v>
      </c>
      <c r="H142" s="27">
        <f>MAX(C142,0.000000001)^'Asumsi &amp; Bobot'!$E$6*MAX(D142,0.000000001)^'Asumsi &amp; Bobot'!$E$7*MAX(E142,0.000000001)^'Asumsi &amp; Bobot'!$E$8*MAX(F142,0.000000001)^'Asumsi &amp; Bobot'!$E$9*MAX(G142,0.000000001)^'Asumsi &amp; Bobot'!$E$10</f>
        <v>3.9513473935515702</v>
      </c>
      <c r="I142" s="27">
        <f t="shared" si="4"/>
        <v>4.0825167334270548E-3</v>
      </c>
      <c r="J142" s="22">
        <f t="shared" si="5"/>
        <v>68</v>
      </c>
    </row>
    <row r="143" spans="1:10" ht="15" customHeight="1" x14ac:dyDescent="0.35">
      <c r="A143" s="14">
        <v>141</v>
      </c>
      <c r="B143" s="17" t="str">
        <f>Normalisasi!B143</f>
        <v>Junior Business Analyst</v>
      </c>
      <c r="C143" s="21">
        <f>Normalisasi!H143</f>
        <v>2.5</v>
      </c>
      <c r="D143" s="21">
        <f>Normalisasi!I143</f>
        <v>1</v>
      </c>
      <c r="E143" s="21">
        <f>Normalisasi!J143</f>
        <v>1.72</v>
      </c>
      <c r="F143" s="21">
        <f>Normalisasi!K143</f>
        <v>2.4294011616262767</v>
      </c>
      <c r="G143" s="21">
        <f>Normalisasi!L143</f>
        <v>1</v>
      </c>
      <c r="H143" s="26">
        <f>MAX(C143,0.000000001)^'Asumsi &amp; Bobot'!$E$6*MAX(D143,0.000000001)^'Asumsi &amp; Bobot'!$E$7*MAX(E143,0.000000001)^'Asumsi &amp; Bobot'!$E$8*MAX(F143,0.000000001)^'Asumsi &amp; Bobot'!$E$9*MAX(G143,0.000000001)^'Asumsi &amp; Bobot'!$E$10</f>
        <v>1.2784907377815737</v>
      </c>
      <c r="I143" s="26">
        <f t="shared" si="4"/>
        <v>1.3209316495539497E-3</v>
      </c>
      <c r="J143" s="18">
        <f t="shared" si="5"/>
        <v>347</v>
      </c>
    </row>
    <row r="144" spans="1:10" ht="15" customHeight="1" x14ac:dyDescent="0.35">
      <c r="A144" s="11">
        <v>142</v>
      </c>
      <c r="B144" s="8" t="str">
        <f>Normalisasi!B144</f>
        <v>Senior Marketing Manager</v>
      </c>
      <c r="C144" s="25">
        <f>Normalisasi!H144</f>
        <v>6.4</v>
      </c>
      <c r="D144" s="25">
        <f>Normalisasi!I144</f>
        <v>5.5</v>
      </c>
      <c r="E144" s="25">
        <f>Normalisasi!J144</f>
        <v>5.68</v>
      </c>
      <c r="F144" s="25">
        <f>Normalisasi!K144</f>
        <v>4.9529341077508509</v>
      </c>
      <c r="G144" s="25">
        <f>Normalisasi!L144</f>
        <v>10</v>
      </c>
      <c r="H144" s="27">
        <f>MAX(C144,0.000000001)^'Asumsi &amp; Bobot'!$E$6*MAX(D144,0.000000001)^'Asumsi &amp; Bobot'!$E$7*MAX(E144,0.000000001)^'Asumsi &amp; Bobot'!$E$8*MAX(F144,0.000000001)^'Asumsi &amp; Bobot'!$E$9*MAX(G144,0.000000001)^'Asumsi &amp; Bobot'!$E$10</f>
        <v>3.8382549368440366</v>
      </c>
      <c r="I144" s="27">
        <f t="shared" si="4"/>
        <v>3.9656700477404567E-3</v>
      </c>
      <c r="J144" s="22">
        <f t="shared" si="5"/>
        <v>74</v>
      </c>
    </row>
    <row r="145" spans="1:10" ht="15" customHeight="1" x14ac:dyDescent="0.35">
      <c r="A145" s="14">
        <v>143</v>
      </c>
      <c r="B145" s="17" t="str">
        <f>Normalisasi!B145</f>
        <v>Junior Software Developer</v>
      </c>
      <c r="C145" s="21">
        <f>Normalisasi!H145</f>
        <v>4</v>
      </c>
      <c r="D145" s="21">
        <f>Normalisasi!I145</f>
        <v>1</v>
      </c>
      <c r="E145" s="21">
        <f>Normalisasi!J145</f>
        <v>2.8</v>
      </c>
      <c r="F145" s="21">
        <f>Normalisasi!K145</f>
        <v>2.7899058682155018</v>
      </c>
      <c r="G145" s="21">
        <f>Normalisasi!L145</f>
        <v>1</v>
      </c>
      <c r="H145" s="26">
        <f>MAX(C145,0.000000001)^'Asumsi &amp; Bobot'!$E$6*MAX(D145,0.000000001)^'Asumsi &amp; Bobot'!$E$7*MAX(E145,0.000000001)^'Asumsi &amp; Bobot'!$E$8*MAX(F145,0.000000001)^'Asumsi &amp; Bobot'!$E$9*MAX(G145,0.000000001)^'Asumsi &amp; Bobot'!$E$10</f>
        <v>1.6220070418007595</v>
      </c>
      <c r="I145" s="26">
        <f t="shared" si="4"/>
        <v>1.675851356601732E-3</v>
      </c>
      <c r="J145" s="18">
        <f t="shared" si="5"/>
        <v>288</v>
      </c>
    </row>
    <row r="146" spans="1:10" ht="15" customHeight="1" x14ac:dyDescent="0.35">
      <c r="A146" s="11">
        <v>144</v>
      </c>
      <c r="B146" s="8" t="str">
        <f>Normalisasi!B146</f>
        <v>Senior Sales Manager</v>
      </c>
      <c r="C146" s="25">
        <f>Normalisasi!H146</f>
        <v>8.1999999999999993</v>
      </c>
      <c r="D146" s="25">
        <f>Normalisasi!I146</f>
        <v>1</v>
      </c>
      <c r="E146" s="25">
        <f>Normalisasi!J146</f>
        <v>8.1999999999999993</v>
      </c>
      <c r="F146" s="25">
        <f>Normalisasi!K146</f>
        <v>5.8541958742239135</v>
      </c>
      <c r="G146" s="25">
        <f>Normalisasi!L146</f>
        <v>1</v>
      </c>
      <c r="H146" s="27">
        <f>MAX(C146,0.000000001)^'Asumsi &amp; Bobot'!$E$6*MAX(D146,0.000000001)^'Asumsi &amp; Bobot'!$E$7*MAX(E146,0.000000001)^'Asumsi &amp; Bobot'!$E$8*MAX(F146,0.000000001)^'Asumsi &amp; Bobot'!$E$9*MAX(G146,0.000000001)^'Asumsi &amp; Bobot'!$E$10</f>
        <v>2.4268247830388541</v>
      </c>
      <c r="I146" s="27">
        <f t="shared" si="4"/>
        <v>2.5073859114539778E-3</v>
      </c>
      <c r="J146" s="22">
        <f t="shared" si="5"/>
        <v>156</v>
      </c>
    </row>
    <row r="147" spans="1:10" ht="15" customHeight="1" x14ac:dyDescent="0.35">
      <c r="A147" s="14">
        <v>145</v>
      </c>
      <c r="B147" s="17" t="str">
        <f>Normalisasi!B147</f>
        <v>Junior Marketing Specialist</v>
      </c>
      <c r="C147" s="21">
        <f>Normalisasi!H147</f>
        <v>1.6</v>
      </c>
      <c r="D147" s="21">
        <f>Normalisasi!I147</f>
        <v>5.5</v>
      </c>
      <c r="E147" s="21">
        <f>Normalisasi!J147</f>
        <v>1.54</v>
      </c>
      <c r="F147" s="21">
        <f>Normalisasi!K147</f>
        <v>2.4294011616262767</v>
      </c>
      <c r="G147" s="21">
        <f>Normalisasi!L147</f>
        <v>10</v>
      </c>
      <c r="H147" s="26">
        <f>MAX(C147,0.000000001)^'Asumsi &amp; Bobot'!$E$6*MAX(D147,0.000000001)^'Asumsi &amp; Bobot'!$E$7*MAX(E147,0.000000001)^'Asumsi &amp; Bobot'!$E$8*MAX(F147,0.000000001)^'Asumsi &amp; Bobot'!$E$9*MAX(G147,0.000000001)^'Asumsi &amp; Bobot'!$E$10</f>
        <v>2.0702734981557751</v>
      </c>
      <c r="I147" s="26">
        <f t="shared" si="4"/>
        <v>2.1389985129590728E-3</v>
      </c>
      <c r="J147" s="18">
        <f t="shared" si="5"/>
        <v>207</v>
      </c>
    </row>
    <row r="148" spans="1:10" ht="15" customHeight="1" x14ac:dyDescent="0.35">
      <c r="A148" s="11">
        <v>146</v>
      </c>
      <c r="B148" s="8" t="str">
        <f>Normalisasi!B148</f>
        <v>Senior Business Analyst</v>
      </c>
      <c r="C148" s="25">
        <f>Normalisasi!H148</f>
        <v>4.3</v>
      </c>
      <c r="D148" s="25">
        <f>Normalisasi!I148</f>
        <v>1</v>
      </c>
      <c r="E148" s="25">
        <f>Normalisasi!J148</f>
        <v>3.88</v>
      </c>
      <c r="F148" s="25">
        <f>Normalisasi!K148</f>
        <v>4.2319246945724007</v>
      </c>
      <c r="G148" s="25">
        <f>Normalisasi!L148</f>
        <v>1</v>
      </c>
      <c r="H148" s="27">
        <f>MAX(C148,0.000000001)^'Asumsi &amp; Bobot'!$E$6*MAX(D148,0.000000001)^'Asumsi &amp; Bobot'!$E$7*MAX(E148,0.000000001)^'Asumsi &amp; Bobot'!$E$8*MAX(F148,0.000000001)^'Asumsi &amp; Bobot'!$E$9*MAX(G148,0.000000001)^'Asumsi &amp; Bobot'!$E$10</f>
        <v>1.735531666367665</v>
      </c>
      <c r="I148" s="27">
        <f t="shared" si="4"/>
        <v>1.7931445564370015E-3</v>
      </c>
      <c r="J148" s="22">
        <f t="shared" si="5"/>
        <v>262</v>
      </c>
    </row>
    <row r="149" spans="1:10" ht="15" customHeight="1" x14ac:dyDescent="0.35">
      <c r="A149" s="14">
        <v>147</v>
      </c>
      <c r="B149" s="17" t="str">
        <f>Normalisasi!B149</f>
        <v>Senior Data Scientist</v>
      </c>
      <c r="C149" s="21">
        <f>Normalisasi!H149</f>
        <v>6.7</v>
      </c>
      <c r="D149" s="21">
        <f>Normalisasi!I149</f>
        <v>10</v>
      </c>
      <c r="E149" s="21">
        <f>Normalisasi!J149</f>
        <v>6.76</v>
      </c>
      <c r="F149" s="21">
        <f>Normalisasi!K149</f>
        <v>6.3949529341077511</v>
      </c>
      <c r="G149" s="21">
        <f>Normalisasi!L149</f>
        <v>10</v>
      </c>
      <c r="H149" s="26">
        <f>MAX(C149,0.000000001)^'Asumsi &amp; Bobot'!$E$6*MAX(D149,0.000000001)^'Asumsi &amp; Bobot'!$E$7*MAX(E149,0.000000001)^'Asumsi &amp; Bobot'!$E$8*MAX(F149,0.000000001)^'Asumsi &amp; Bobot'!$E$9*MAX(G149,0.000000001)^'Asumsi &amp; Bobot'!$E$10</f>
        <v>4.6532052797135055</v>
      </c>
      <c r="I149" s="26">
        <f t="shared" si="4"/>
        <v>4.8076735671238246E-3</v>
      </c>
      <c r="J149" s="18">
        <f t="shared" si="5"/>
        <v>19</v>
      </c>
    </row>
    <row r="150" spans="1:10" ht="15" customHeight="1" x14ac:dyDescent="0.35">
      <c r="A150" s="11">
        <v>148</v>
      </c>
      <c r="B150" s="8" t="str">
        <f>Normalisasi!B150</f>
        <v>Junior Project Manager</v>
      </c>
      <c r="C150" s="25">
        <f>Normalisasi!H150</f>
        <v>3.4</v>
      </c>
      <c r="D150" s="25">
        <f>Normalisasi!I150</f>
        <v>1</v>
      </c>
      <c r="E150" s="25">
        <f>Normalisasi!J150</f>
        <v>2.44</v>
      </c>
      <c r="F150" s="25">
        <f>Normalisasi!K150</f>
        <v>3.1504105748047264</v>
      </c>
      <c r="G150" s="25">
        <f>Normalisasi!L150</f>
        <v>1</v>
      </c>
      <c r="H150" s="27">
        <f>MAX(C150,0.000000001)^'Asumsi &amp; Bobot'!$E$6*MAX(D150,0.000000001)^'Asumsi &amp; Bobot'!$E$7*MAX(E150,0.000000001)^'Asumsi &amp; Bobot'!$E$8*MAX(F150,0.000000001)^'Asumsi &amp; Bobot'!$E$9*MAX(G150,0.000000001)^'Asumsi &amp; Bobot'!$E$10</f>
        <v>1.4756276057026232</v>
      </c>
      <c r="I150" s="27">
        <f t="shared" si="4"/>
        <v>1.5246126934875979E-3</v>
      </c>
      <c r="J150" s="22">
        <f t="shared" si="5"/>
        <v>325</v>
      </c>
    </row>
    <row r="151" spans="1:10" ht="15" customHeight="1" x14ac:dyDescent="0.35">
      <c r="A151" s="14">
        <v>149</v>
      </c>
      <c r="B151" s="17" t="str">
        <f>Normalisasi!B151</f>
        <v>Senior Accountant</v>
      </c>
      <c r="C151" s="21">
        <f>Normalisasi!H151</f>
        <v>5.5</v>
      </c>
      <c r="D151" s="21">
        <f>Normalisasi!I151</f>
        <v>1</v>
      </c>
      <c r="E151" s="21">
        <f>Normalisasi!J151</f>
        <v>4.5999999999999996</v>
      </c>
      <c r="F151" s="21">
        <f>Normalisasi!K151</f>
        <v>3.8714199879831765</v>
      </c>
      <c r="G151" s="21">
        <f>Normalisasi!L151</f>
        <v>10</v>
      </c>
      <c r="H151" s="26">
        <f>MAX(C151,0.000000001)^'Asumsi &amp; Bobot'!$E$6*MAX(D151,0.000000001)^'Asumsi &amp; Bobot'!$E$7*MAX(E151,0.000000001)^'Asumsi &amp; Bobot'!$E$8*MAX(F151,0.000000001)^'Asumsi &amp; Bobot'!$E$9*MAX(G151,0.000000001)^'Asumsi &amp; Bobot'!$E$10</f>
        <v>2.2765425750292008</v>
      </c>
      <c r="I151" s="26">
        <f t="shared" si="4"/>
        <v>2.3521149196052151E-3</v>
      </c>
      <c r="J151" s="18">
        <f t="shared" si="5"/>
        <v>175</v>
      </c>
    </row>
    <row r="152" spans="1:10" ht="15" customHeight="1" x14ac:dyDescent="0.35">
      <c r="A152" s="11">
        <v>150</v>
      </c>
      <c r="B152" s="8" t="str">
        <f>Normalisasi!B152</f>
        <v>Director of Sales</v>
      </c>
      <c r="C152" s="25">
        <f>Normalisasi!H152</f>
        <v>7.6</v>
      </c>
      <c r="D152" s="25">
        <f>Normalisasi!I152</f>
        <v>5.5</v>
      </c>
      <c r="E152" s="25">
        <f>Normalisasi!J152</f>
        <v>7.84</v>
      </c>
      <c r="F152" s="25">
        <f>Normalisasi!K152</f>
        <v>7.2962147005808129</v>
      </c>
      <c r="G152" s="25">
        <f>Normalisasi!L152</f>
        <v>1</v>
      </c>
      <c r="H152" s="27">
        <f>MAX(C152,0.000000001)^'Asumsi &amp; Bobot'!$E$6*MAX(D152,0.000000001)^'Asumsi &amp; Bobot'!$E$7*MAX(E152,0.000000001)^'Asumsi &amp; Bobot'!$E$8*MAX(F152,0.000000001)^'Asumsi &amp; Bobot'!$E$9*MAX(G152,0.000000001)^'Asumsi &amp; Bobot'!$E$10</f>
        <v>3.6026198908569196</v>
      </c>
      <c r="I152" s="27">
        <f t="shared" si="4"/>
        <v>3.7222128362094792E-3</v>
      </c>
      <c r="J152" s="22">
        <f t="shared" si="5"/>
        <v>97</v>
      </c>
    </row>
    <row r="153" spans="1:10" ht="15" customHeight="1" x14ac:dyDescent="0.35">
      <c r="A153" s="14">
        <v>151</v>
      </c>
      <c r="B153" s="17" t="str">
        <f>Normalisasi!B153</f>
        <v>Junior Recruiter</v>
      </c>
      <c r="C153" s="21">
        <f>Normalisasi!H153</f>
        <v>2.8</v>
      </c>
      <c r="D153" s="21">
        <f>Normalisasi!I153</f>
        <v>1</v>
      </c>
      <c r="E153" s="21">
        <f>Normalisasi!J153</f>
        <v>2.08</v>
      </c>
      <c r="F153" s="21">
        <f>Normalisasi!K153</f>
        <v>2.6096535149208893</v>
      </c>
      <c r="G153" s="21">
        <f>Normalisasi!L153</f>
        <v>10</v>
      </c>
      <c r="H153" s="26">
        <f>MAX(C153,0.000000001)^'Asumsi &amp; Bobot'!$E$6*MAX(D153,0.000000001)^'Asumsi &amp; Bobot'!$E$7*MAX(E153,0.000000001)^'Asumsi &amp; Bobot'!$E$8*MAX(F153,0.000000001)^'Asumsi &amp; Bobot'!$E$9*MAX(G153,0.000000001)^'Asumsi &amp; Bobot'!$E$10</f>
        <v>1.6090702476537577</v>
      </c>
      <c r="I153" s="26">
        <f t="shared" si="4"/>
        <v>1.6624851112879873E-3</v>
      </c>
      <c r="J153" s="18">
        <f t="shared" si="5"/>
        <v>291</v>
      </c>
    </row>
    <row r="154" spans="1:10" ht="15" customHeight="1" x14ac:dyDescent="0.35">
      <c r="A154" s="11">
        <v>152</v>
      </c>
      <c r="B154" s="8" t="str">
        <f>Normalisasi!B154</f>
        <v>Senior Business Development Manager</v>
      </c>
      <c r="C154" s="25">
        <f>Normalisasi!H154</f>
        <v>4.9000000000000004</v>
      </c>
      <c r="D154" s="25">
        <f>Normalisasi!I154</f>
        <v>5.5</v>
      </c>
      <c r="E154" s="25">
        <f>Normalisasi!J154</f>
        <v>4.96</v>
      </c>
      <c r="F154" s="25">
        <f>Normalisasi!K154</f>
        <v>5.3134388143400759</v>
      </c>
      <c r="G154" s="25">
        <f>Normalisasi!L154</f>
        <v>1</v>
      </c>
      <c r="H154" s="27">
        <f>MAX(C154,0.000000001)^'Asumsi &amp; Bobot'!$E$6*MAX(D154,0.000000001)^'Asumsi &amp; Bobot'!$E$7*MAX(E154,0.000000001)^'Asumsi &amp; Bobot'!$E$8*MAX(F154,0.000000001)^'Asumsi &amp; Bobot'!$E$9*MAX(G154,0.000000001)^'Asumsi &amp; Bobot'!$E$10</f>
        <v>2.9551513888931096</v>
      </c>
      <c r="I154" s="27">
        <f t="shared" si="4"/>
        <v>3.0532509023769956E-3</v>
      </c>
      <c r="J154" s="22">
        <f t="shared" si="5"/>
        <v>121</v>
      </c>
    </row>
    <row r="155" spans="1:10" ht="15" customHeight="1" x14ac:dyDescent="0.35">
      <c r="A155" s="14">
        <v>153</v>
      </c>
      <c r="B155" s="17" t="str">
        <f>Normalisasi!B155</f>
        <v>Senior Product Designer</v>
      </c>
      <c r="C155" s="21">
        <f>Normalisasi!H155</f>
        <v>7</v>
      </c>
      <c r="D155" s="21">
        <f>Normalisasi!I155</f>
        <v>10</v>
      </c>
      <c r="E155" s="21">
        <f>Normalisasi!J155</f>
        <v>7.48</v>
      </c>
      <c r="F155" s="21">
        <f>Normalisasi!K155</f>
        <v>6.0344482275185261</v>
      </c>
      <c r="G155" s="21">
        <f>Normalisasi!L155</f>
        <v>10</v>
      </c>
      <c r="H155" s="26">
        <f>MAX(C155,0.000000001)^'Asumsi &amp; Bobot'!$E$6*MAX(D155,0.000000001)^'Asumsi &amp; Bobot'!$E$7*MAX(E155,0.000000001)^'Asumsi &amp; Bobot'!$E$8*MAX(F155,0.000000001)^'Asumsi &amp; Bobot'!$E$9*MAX(G155,0.000000001)^'Asumsi &amp; Bobot'!$E$10</f>
        <v>4.8929239451742905</v>
      </c>
      <c r="I155" s="26">
        <f t="shared" si="4"/>
        <v>5.055349958386102E-3</v>
      </c>
      <c r="J155" s="18">
        <f t="shared" si="5"/>
        <v>5</v>
      </c>
    </row>
    <row r="156" spans="1:10" ht="15" customHeight="1" x14ac:dyDescent="0.35">
      <c r="A156" s="11">
        <v>154</v>
      </c>
      <c r="B156" s="8" t="str">
        <f>Normalisasi!B156</f>
        <v>Junior Customer Support Specialist</v>
      </c>
      <c r="C156" s="25">
        <f>Normalisasi!H156</f>
        <v>1.9</v>
      </c>
      <c r="D156" s="25">
        <f>Normalisasi!I156</f>
        <v>1</v>
      </c>
      <c r="E156" s="25">
        <f>Normalisasi!J156</f>
        <v>1.72</v>
      </c>
      <c r="F156" s="25">
        <f>Normalisasi!K156</f>
        <v>2.2491488083316646</v>
      </c>
      <c r="G156" s="25">
        <f>Normalisasi!L156</f>
        <v>1</v>
      </c>
      <c r="H156" s="27">
        <f>MAX(C156,0.000000001)^'Asumsi &amp; Bobot'!$E$6*MAX(D156,0.000000001)^'Asumsi &amp; Bobot'!$E$7*MAX(E156,0.000000001)^'Asumsi &amp; Bobot'!$E$8*MAX(F156,0.000000001)^'Asumsi &amp; Bobot'!$E$9*MAX(G156,0.000000001)^'Asumsi &amp; Bobot'!$E$10</f>
        <v>1.2227127581797372</v>
      </c>
      <c r="I156" s="27">
        <f t="shared" si="4"/>
        <v>1.2633020583282149E-3</v>
      </c>
      <c r="J156" s="22">
        <f t="shared" si="5"/>
        <v>363</v>
      </c>
    </row>
    <row r="157" spans="1:10" ht="15" customHeight="1" x14ac:dyDescent="0.35">
      <c r="A157" s="14">
        <v>155</v>
      </c>
      <c r="B157" s="17" t="str">
        <f>Normalisasi!B157</f>
        <v>Senior Marketing Analyst</v>
      </c>
      <c r="C157" s="21">
        <f>Normalisasi!H157</f>
        <v>5.2</v>
      </c>
      <c r="D157" s="21">
        <f>Normalisasi!I157</f>
        <v>5.5</v>
      </c>
      <c r="E157" s="21">
        <f>Normalisasi!J157</f>
        <v>4.24</v>
      </c>
      <c r="F157" s="21">
        <f>Normalisasi!K157</f>
        <v>4.4121770478670133</v>
      </c>
      <c r="G157" s="21">
        <f>Normalisasi!L157</f>
        <v>10</v>
      </c>
      <c r="H157" s="26">
        <f>MAX(C157,0.000000001)^'Asumsi &amp; Bobot'!$E$6*MAX(D157,0.000000001)^'Asumsi &amp; Bobot'!$E$7*MAX(E157,0.000000001)^'Asumsi &amp; Bobot'!$E$8*MAX(F157,0.000000001)^'Asumsi &amp; Bobot'!$E$9*MAX(G157,0.000000001)^'Asumsi &amp; Bobot'!$E$10</f>
        <v>3.3920763112234851</v>
      </c>
      <c r="I157" s="26">
        <f t="shared" si="4"/>
        <v>3.504680029964229E-3</v>
      </c>
      <c r="J157" s="18">
        <f t="shared" si="5"/>
        <v>111</v>
      </c>
    </row>
    <row r="158" spans="1:10" ht="15" customHeight="1" x14ac:dyDescent="0.35">
      <c r="A158" s="11">
        <v>156</v>
      </c>
      <c r="B158" s="8" t="str">
        <f>Normalisasi!B158</f>
        <v>Senior IT Support Specialist</v>
      </c>
      <c r="C158" s="25">
        <f>Normalisasi!H158</f>
        <v>7.3</v>
      </c>
      <c r="D158" s="25">
        <f>Normalisasi!I158</f>
        <v>1</v>
      </c>
      <c r="E158" s="25">
        <f>Normalisasi!J158</f>
        <v>6.04</v>
      </c>
      <c r="F158" s="25">
        <f>Normalisasi!K158</f>
        <v>4.9529341077508509</v>
      </c>
      <c r="G158" s="25">
        <f>Normalisasi!L158</f>
        <v>1</v>
      </c>
      <c r="H158" s="27">
        <f>MAX(C158,0.000000001)^'Asumsi &amp; Bobot'!$E$6*MAX(D158,0.000000001)^'Asumsi &amp; Bobot'!$E$7*MAX(E158,0.000000001)^'Asumsi &amp; Bobot'!$E$8*MAX(F158,0.000000001)^'Asumsi &amp; Bobot'!$E$9*MAX(G158,0.000000001)^'Asumsi &amp; Bobot'!$E$10</f>
        <v>2.1895853476840319</v>
      </c>
      <c r="I158" s="27">
        <f t="shared" si="4"/>
        <v>2.2622710510786402E-3</v>
      </c>
      <c r="J158" s="22">
        <f t="shared" si="5"/>
        <v>188</v>
      </c>
    </row>
    <row r="159" spans="1:10" ht="15" customHeight="1" x14ac:dyDescent="0.35">
      <c r="A159" s="14">
        <v>157</v>
      </c>
      <c r="B159" s="17" t="str">
        <f>Normalisasi!B159</f>
        <v>Junior Financial Analyst</v>
      </c>
      <c r="C159" s="21">
        <f>Normalisasi!H159</f>
        <v>3.7</v>
      </c>
      <c r="D159" s="21">
        <f>Normalisasi!I159</f>
        <v>1</v>
      </c>
      <c r="E159" s="21">
        <f>Normalisasi!J159</f>
        <v>2.8</v>
      </c>
      <c r="F159" s="21">
        <f>Normalisasi!K159</f>
        <v>2.7899058682155018</v>
      </c>
      <c r="G159" s="21">
        <f>Normalisasi!L159</f>
        <v>10</v>
      </c>
      <c r="H159" s="26">
        <f>MAX(C159,0.000000001)^'Asumsi &amp; Bobot'!$E$6*MAX(D159,0.000000001)^'Asumsi &amp; Bobot'!$E$7*MAX(E159,0.000000001)^'Asumsi &amp; Bobot'!$E$8*MAX(F159,0.000000001)^'Asumsi &amp; Bobot'!$E$9*MAX(G159,0.000000001)^'Asumsi &amp; Bobot'!$E$10</f>
        <v>1.8618631160649992</v>
      </c>
      <c r="I159" s="26">
        <f t="shared" si="4"/>
        <v>1.9236697181044236E-3</v>
      </c>
      <c r="J159" s="18">
        <f t="shared" si="5"/>
        <v>230</v>
      </c>
    </row>
    <row r="160" spans="1:10" ht="15" customHeight="1" x14ac:dyDescent="0.35">
      <c r="A160" s="11">
        <v>158</v>
      </c>
      <c r="B160" s="8" t="str">
        <f>Normalisasi!B160</f>
        <v>Senior Operations Manager</v>
      </c>
      <c r="C160" s="25">
        <f>Normalisasi!H160</f>
        <v>4</v>
      </c>
      <c r="D160" s="25">
        <f>Normalisasi!I160</f>
        <v>5.5</v>
      </c>
      <c r="E160" s="25">
        <f>Normalisasi!J160</f>
        <v>3.52</v>
      </c>
      <c r="F160" s="25">
        <f>Normalisasi!K160</f>
        <v>5.1331864610454634</v>
      </c>
      <c r="G160" s="25">
        <f>Normalisasi!L160</f>
        <v>1</v>
      </c>
      <c r="H160" s="27">
        <f>MAX(C160,0.000000001)^'Asumsi &amp; Bobot'!$E$6*MAX(D160,0.000000001)^'Asumsi &amp; Bobot'!$E$7*MAX(E160,0.000000001)^'Asumsi &amp; Bobot'!$E$8*MAX(F160,0.000000001)^'Asumsi &amp; Bobot'!$E$9*MAX(G160,0.000000001)^'Asumsi &amp; Bobot'!$E$10</f>
        <v>2.5427558644010708</v>
      </c>
      <c r="I160" s="27">
        <f t="shared" si="4"/>
        <v>2.6271654530751302E-3</v>
      </c>
      <c r="J160" s="22">
        <f t="shared" si="5"/>
        <v>144</v>
      </c>
    </row>
    <row r="161" spans="1:10" ht="15" customHeight="1" x14ac:dyDescent="0.35">
      <c r="A161" s="14">
        <v>159</v>
      </c>
      <c r="B161" s="17" t="str">
        <f>Normalisasi!B161</f>
        <v>Director of Human Resources</v>
      </c>
      <c r="C161" s="21">
        <f>Normalisasi!H161</f>
        <v>9.4</v>
      </c>
      <c r="D161" s="21">
        <f>Normalisasi!I161</f>
        <v>10</v>
      </c>
      <c r="E161" s="21">
        <f>Normalisasi!J161</f>
        <v>9.2799999999999994</v>
      </c>
      <c r="F161" s="21">
        <f>Normalisasi!K161</f>
        <v>7.656719407170038</v>
      </c>
      <c r="G161" s="21">
        <f>Normalisasi!L161</f>
        <v>10</v>
      </c>
      <c r="H161" s="26">
        <f>MAX(C161,0.000000001)^'Asumsi &amp; Bobot'!$E$6*MAX(D161,0.000000001)^'Asumsi &amp; Bobot'!$E$7*MAX(E161,0.000000001)^'Asumsi &amp; Bobot'!$E$8*MAX(F161,0.000000001)^'Asumsi &amp; Bobot'!$E$9*MAX(G161,0.000000001)^'Asumsi &amp; Bobot'!$E$10</f>
        <v>5.4025964871436516</v>
      </c>
      <c r="I161" s="26">
        <f t="shared" si="4"/>
        <v>5.5819416431754244E-3</v>
      </c>
      <c r="J161" s="18">
        <f t="shared" si="5"/>
        <v>1</v>
      </c>
    </row>
    <row r="162" spans="1:10" ht="15" customHeight="1" x14ac:dyDescent="0.35">
      <c r="A162" s="11">
        <v>160</v>
      </c>
      <c r="B162" s="8" t="str">
        <f>Normalisasi!B162</f>
        <v>Junior Software Engineer</v>
      </c>
      <c r="C162" s="25">
        <f>Normalisasi!H162</f>
        <v>2.5</v>
      </c>
      <c r="D162" s="25">
        <f>Normalisasi!I162</f>
        <v>1</v>
      </c>
      <c r="E162" s="25">
        <f>Normalisasi!J162</f>
        <v>1.72</v>
      </c>
      <c r="F162" s="25">
        <f>Normalisasi!K162</f>
        <v>2.4294011616262767</v>
      </c>
      <c r="G162" s="25">
        <f>Normalisasi!L162</f>
        <v>1</v>
      </c>
      <c r="H162" s="27">
        <f>MAX(C162,0.000000001)^'Asumsi &amp; Bobot'!$E$6*MAX(D162,0.000000001)^'Asumsi &amp; Bobot'!$E$7*MAX(E162,0.000000001)^'Asumsi &amp; Bobot'!$E$8*MAX(F162,0.000000001)^'Asumsi &amp; Bobot'!$E$9*MAX(G162,0.000000001)^'Asumsi &amp; Bobot'!$E$10</f>
        <v>1.2784907377815737</v>
      </c>
      <c r="I162" s="27">
        <f t="shared" si="4"/>
        <v>1.3209316495539497E-3</v>
      </c>
      <c r="J162" s="22">
        <f t="shared" si="5"/>
        <v>347</v>
      </c>
    </row>
    <row r="163" spans="1:10" ht="15" customHeight="1" x14ac:dyDescent="0.35">
      <c r="A163" s="14">
        <v>161</v>
      </c>
      <c r="B163" s="17" t="str">
        <f>Normalisasi!B163</f>
        <v>Senior Sales Representative</v>
      </c>
      <c r="C163" s="21">
        <f>Normalisasi!H163</f>
        <v>5.8</v>
      </c>
      <c r="D163" s="21">
        <f>Normalisasi!I163</f>
        <v>1</v>
      </c>
      <c r="E163" s="21">
        <f>Normalisasi!J163</f>
        <v>5.32</v>
      </c>
      <c r="F163" s="21">
        <f>Normalisasi!K163</f>
        <v>4.2319246945724007</v>
      </c>
      <c r="G163" s="21">
        <f>Normalisasi!L163</f>
        <v>10</v>
      </c>
      <c r="H163" s="26">
        <f>MAX(C163,0.000000001)^'Asumsi &amp; Bobot'!$E$6*MAX(D163,0.000000001)^'Asumsi &amp; Bobot'!$E$7*MAX(E163,0.000000001)^'Asumsi &amp; Bobot'!$E$8*MAX(F163,0.000000001)^'Asumsi &amp; Bobot'!$E$9*MAX(G163,0.000000001)^'Asumsi &amp; Bobot'!$E$10</f>
        <v>2.3866262810495655</v>
      </c>
      <c r="I163" s="26">
        <f t="shared" si="4"/>
        <v>2.4658529758032695E-3</v>
      </c>
      <c r="J163" s="18">
        <f t="shared" si="5"/>
        <v>161</v>
      </c>
    </row>
    <row r="164" spans="1:10" ht="15" customHeight="1" x14ac:dyDescent="0.35">
      <c r="A164" s="11">
        <v>162</v>
      </c>
      <c r="B164" s="8" t="str">
        <f>Normalisasi!B164</f>
        <v>Director of Product Management</v>
      </c>
      <c r="C164" s="25">
        <f>Normalisasi!H164</f>
        <v>8.5</v>
      </c>
      <c r="D164" s="25">
        <f>Normalisasi!I164</f>
        <v>5.5</v>
      </c>
      <c r="E164" s="25">
        <f>Normalisasi!J164</f>
        <v>8.5599999999999987</v>
      </c>
      <c r="F164" s="25">
        <f>Normalisasi!K164</f>
        <v>7.2962147005808129</v>
      </c>
      <c r="G164" s="25">
        <f>Normalisasi!L164</f>
        <v>1</v>
      </c>
      <c r="H164" s="27">
        <f>MAX(C164,0.000000001)^'Asumsi &amp; Bobot'!$E$6*MAX(D164,0.000000001)^'Asumsi &amp; Bobot'!$E$7*MAX(E164,0.000000001)^'Asumsi &amp; Bobot'!$E$8*MAX(F164,0.000000001)^'Asumsi &amp; Bobot'!$E$9*MAX(G164,0.000000001)^'Asumsi &amp; Bobot'!$E$10</f>
        <v>3.7936629505777817</v>
      </c>
      <c r="I164" s="27">
        <f t="shared" si="4"/>
        <v>3.9195977812508456E-3</v>
      </c>
      <c r="J164" s="22">
        <f t="shared" si="5"/>
        <v>77</v>
      </c>
    </row>
    <row r="165" spans="1:10" ht="15" customHeight="1" x14ac:dyDescent="0.35">
      <c r="A165" s="14">
        <v>163</v>
      </c>
      <c r="B165" s="17" t="str">
        <f>Normalisasi!B165</f>
        <v>Junior Copywriter</v>
      </c>
      <c r="C165" s="21">
        <f>Normalisasi!H165</f>
        <v>3.1</v>
      </c>
      <c r="D165" s="21">
        <f>Normalisasi!I165</f>
        <v>1</v>
      </c>
      <c r="E165" s="21">
        <f>Normalisasi!J165</f>
        <v>2.08</v>
      </c>
      <c r="F165" s="21">
        <f>Normalisasi!K165</f>
        <v>2.6096535149208893</v>
      </c>
      <c r="G165" s="21">
        <f>Normalisasi!L165</f>
        <v>10</v>
      </c>
      <c r="H165" s="26">
        <f>MAX(C165,0.000000001)^'Asumsi &amp; Bobot'!$E$6*MAX(D165,0.000000001)^'Asumsi &amp; Bobot'!$E$7*MAX(E165,0.000000001)^'Asumsi &amp; Bobot'!$E$8*MAX(F165,0.000000001)^'Asumsi &amp; Bobot'!$E$9*MAX(G165,0.000000001)^'Asumsi &amp; Bobot'!$E$10</f>
        <v>1.6421610127089024</v>
      </c>
      <c r="I165" s="26">
        <f t="shared" si="4"/>
        <v>1.6966743608285361E-3</v>
      </c>
      <c r="J165" s="18">
        <f t="shared" si="5"/>
        <v>283</v>
      </c>
    </row>
    <row r="166" spans="1:10" ht="15" customHeight="1" x14ac:dyDescent="0.35">
      <c r="A166" s="11">
        <v>164</v>
      </c>
      <c r="B166" s="8" t="str">
        <f>Normalisasi!B166</f>
        <v>Senior Marketing Coordinator</v>
      </c>
      <c r="C166" s="25">
        <f>Normalisasi!H166</f>
        <v>4.5999999999999996</v>
      </c>
      <c r="D166" s="25">
        <f>Normalisasi!I166</f>
        <v>1</v>
      </c>
      <c r="E166" s="25">
        <f>Normalisasi!J166</f>
        <v>3.52</v>
      </c>
      <c r="F166" s="25">
        <f>Normalisasi!K166</f>
        <v>3.8714199879831765</v>
      </c>
      <c r="G166" s="25">
        <f>Normalisasi!L166</f>
        <v>1</v>
      </c>
      <c r="H166" s="27">
        <f>MAX(C166,0.000000001)^'Asumsi &amp; Bobot'!$E$6*MAX(D166,0.000000001)^'Asumsi &amp; Bobot'!$E$7*MAX(E166,0.000000001)^'Asumsi &amp; Bobot'!$E$8*MAX(F166,0.000000001)^'Asumsi &amp; Bobot'!$E$9*MAX(G166,0.000000001)^'Asumsi &amp; Bobot'!$E$10</f>
        <v>1.7232558008572565</v>
      </c>
      <c r="I166" s="27">
        <f t="shared" si="4"/>
        <v>1.7804611800157509E-3</v>
      </c>
      <c r="J166" s="22">
        <f t="shared" si="5"/>
        <v>265</v>
      </c>
    </row>
    <row r="167" spans="1:10" ht="15" customHeight="1" x14ac:dyDescent="0.35">
      <c r="A167" s="14">
        <v>165</v>
      </c>
      <c r="B167" s="17" t="str">
        <f>Normalisasi!B167</f>
        <v>Senior Human Resources Manager</v>
      </c>
      <c r="C167" s="21">
        <f>Normalisasi!H167</f>
        <v>6.4</v>
      </c>
      <c r="D167" s="21">
        <f>Normalisasi!I167</f>
        <v>5.5</v>
      </c>
      <c r="E167" s="21">
        <f>Normalisasi!J167</f>
        <v>5.68</v>
      </c>
      <c r="F167" s="21">
        <f>Normalisasi!K167</f>
        <v>5.3134388143400759</v>
      </c>
      <c r="G167" s="21">
        <f>Normalisasi!L167</f>
        <v>10</v>
      </c>
      <c r="H167" s="26">
        <f>MAX(C167,0.000000001)^'Asumsi &amp; Bobot'!$E$6*MAX(D167,0.000000001)^'Asumsi &amp; Bobot'!$E$7*MAX(E167,0.000000001)^'Asumsi &amp; Bobot'!$E$8*MAX(F167,0.000000001)^'Asumsi &amp; Bobot'!$E$9*MAX(G167,0.000000001)^'Asumsi &amp; Bobot'!$E$10</f>
        <v>3.8024665245034521</v>
      </c>
      <c r="I167" s="26">
        <f t="shared" si="4"/>
        <v>3.9286935995340383E-3</v>
      </c>
      <c r="J167" s="18">
        <f t="shared" si="5"/>
        <v>76</v>
      </c>
    </row>
    <row r="168" spans="1:10" ht="15" customHeight="1" x14ac:dyDescent="0.35">
      <c r="A168" s="11">
        <v>166</v>
      </c>
      <c r="B168" s="8" t="str">
        <f>Normalisasi!B168</f>
        <v>Junior Business Development Associate</v>
      </c>
      <c r="C168" s="25">
        <f>Normalisasi!H168</f>
        <v>2.2000000000000002</v>
      </c>
      <c r="D168" s="25">
        <f>Normalisasi!I168</f>
        <v>1</v>
      </c>
      <c r="E168" s="25">
        <f>Normalisasi!J168</f>
        <v>1.54</v>
      </c>
      <c r="F168" s="25">
        <f>Normalisasi!K168</f>
        <v>2.2491488083316646</v>
      </c>
      <c r="G168" s="25">
        <f>Normalisasi!L168</f>
        <v>1</v>
      </c>
      <c r="H168" s="27">
        <f>MAX(C168,0.000000001)^'Asumsi &amp; Bobot'!$E$6*MAX(D168,0.000000001)^'Asumsi &amp; Bobot'!$E$7*MAX(E168,0.000000001)^'Asumsi &amp; Bobot'!$E$8*MAX(F168,0.000000001)^'Asumsi &amp; Bobot'!$E$9*MAX(G168,0.000000001)^'Asumsi &amp; Bobot'!$E$10</f>
        <v>1.2135444388591712</v>
      </c>
      <c r="I168" s="27">
        <f t="shared" si="4"/>
        <v>1.2538293865239848E-3</v>
      </c>
      <c r="J168" s="22">
        <f t="shared" si="5"/>
        <v>364</v>
      </c>
    </row>
    <row r="169" spans="1:10" ht="15" customHeight="1" x14ac:dyDescent="0.35">
      <c r="A169" s="14">
        <v>167</v>
      </c>
      <c r="B169" s="17" t="str">
        <f>Normalisasi!B169</f>
        <v>Senior Account Manager</v>
      </c>
      <c r="C169" s="21">
        <f>Normalisasi!H169</f>
        <v>6.1</v>
      </c>
      <c r="D169" s="21">
        <f>Normalisasi!I169</f>
        <v>1</v>
      </c>
      <c r="E169" s="21">
        <f>Normalisasi!J169</f>
        <v>6.04</v>
      </c>
      <c r="F169" s="21">
        <f>Normalisasi!K169</f>
        <v>4.9529341077508509</v>
      </c>
      <c r="G169" s="21">
        <f>Normalisasi!L169</f>
        <v>10</v>
      </c>
      <c r="H169" s="26">
        <f>MAX(C169,0.000000001)^'Asumsi &amp; Bobot'!$E$6*MAX(D169,0.000000001)^'Asumsi &amp; Bobot'!$E$7*MAX(E169,0.000000001)^'Asumsi &amp; Bobot'!$E$8*MAX(F169,0.000000001)^'Asumsi &amp; Bobot'!$E$9*MAX(G169,0.000000001)^'Asumsi &amp; Bobot'!$E$10</f>
        <v>2.4628045078167005</v>
      </c>
      <c r="I169" s="26">
        <f t="shared" si="4"/>
        <v>2.5445600229252628E-3</v>
      </c>
      <c r="J169" s="18">
        <f t="shared" si="5"/>
        <v>151</v>
      </c>
    </row>
    <row r="170" spans="1:10" ht="15" customHeight="1" x14ac:dyDescent="0.35">
      <c r="A170" s="11">
        <v>168</v>
      </c>
      <c r="B170" s="8" t="str">
        <f>Normalisasi!B170</f>
        <v>Senior Researcher</v>
      </c>
      <c r="C170" s="25">
        <f>Normalisasi!H170</f>
        <v>7.9</v>
      </c>
      <c r="D170" s="25">
        <f>Normalisasi!I170</f>
        <v>10</v>
      </c>
      <c r="E170" s="25">
        <f>Normalisasi!J170</f>
        <v>7.48</v>
      </c>
      <c r="F170" s="25">
        <f>Normalisasi!K170</f>
        <v>6.3949529341077511</v>
      </c>
      <c r="G170" s="25">
        <f>Normalisasi!L170</f>
        <v>1</v>
      </c>
      <c r="H170" s="27">
        <f>MAX(C170,0.000000001)^'Asumsi &amp; Bobot'!$E$6*MAX(D170,0.000000001)^'Asumsi &amp; Bobot'!$E$7*MAX(E170,0.000000001)^'Asumsi &amp; Bobot'!$E$8*MAX(F170,0.000000001)^'Asumsi &amp; Bobot'!$E$9*MAX(G170,0.000000001)^'Asumsi &amp; Bobot'!$E$10</f>
        <v>4.2662631233831485</v>
      </c>
      <c r="I170" s="27">
        <f t="shared" si="4"/>
        <v>4.4078864386458199E-3</v>
      </c>
      <c r="J170" s="22">
        <f t="shared" si="5"/>
        <v>50</v>
      </c>
    </row>
    <row r="171" spans="1:10" ht="15" customHeight="1" x14ac:dyDescent="0.35">
      <c r="A171" s="14">
        <v>169</v>
      </c>
      <c r="B171" s="17" t="str">
        <f>Normalisasi!B171</f>
        <v>Junior HR Coordinator</v>
      </c>
      <c r="C171" s="21">
        <f>Normalisasi!H171</f>
        <v>3.4</v>
      </c>
      <c r="D171" s="21">
        <f>Normalisasi!I171</f>
        <v>1</v>
      </c>
      <c r="E171" s="21">
        <f>Normalisasi!J171</f>
        <v>2.44</v>
      </c>
      <c r="F171" s="21">
        <f>Normalisasi!K171</f>
        <v>2.7899058682155018</v>
      </c>
      <c r="G171" s="21">
        <f>Normalisasi!L171</f>
        <v>10</v>
      </c>
      <c r="H171" s="26">
        <f>MAX(C171,0.000000001)^'Asumsi &amp; Bobot'!$E$6*MAX(D171,0.000000001)^'Asumsi &amp; Bobot'!$E$7*MAX(E171,0.000000001)^'Asumsi &amp; Bobot'!$E$8*MAX(F171,0.000000001)^'Asumsi &amp; Bobot'!$E$9*MAX(G171,0.000000001)^'Asumsi &amp; Bobot'!$E$10</f>
        <v>1.7485596492322004</v>
      </c>
      <c r="I171" s="26">
        <f t="shared" si="4"/>
        <v>1.8066050175784506E-3</v>
      </c>
      <c r="J171" s="18">
        <f t="shared" si="5"/>
        <v>260</v>
      </c>
    </row>
    <row r="172" spans="1:10" ht="15" customHeight="1" x14ac:dyDescent="0.35">
      <c r="A172" s="11">
        <v>170</v>
      </c>
      <c r="B172" s="8" t="str">
        <f>Normalisasi!B172</f>
        <v>Senior Software Engineer</v>
      </c>
      <c r="C172" s="25">
        <f>Normalisasi!H172</f>
        <v>4.3</v>
      </c>
      <c r="D172" s="25">
        <f>Normalisasi!I172</f>
        <v>5.5</v>
      </c>
      <c r="E172" s="25">
        <f>Normalisasi!J172</f>
        <v>4.24</v>
      </c>
      <c r="F172" s="25">
        <f>Normalisasi!K172</f>
        <v>4.7726817544562383</v>
      </c>
      <c r="G172" s="25">
        <f>Normalisasi!L172</f>
        <v>1</v>
      </c>
      <c r="H172" s="27">
        <f>MAX(C172,0.000000001)^'Asumsi &amp; Bobot'!$E$6*MAX(D172,0.000000001)^'Asumsi &amp; Bobot'!$E$7*MAX(E172,0.000000001)^'Asumsi &amp; Bobot'!$E$8*MAX(F172,0.000000001)^'Asumsi &amp; Bobot'!$E$9*MAX(G172,0.000000001)^'Asumsi &amp; Bobot'!$E$10</f>
        <v>2.7716860137871069</v>
      </c>
      <c r="I172" s="27">
        <f t="shared" si="4"/>
        <v>2.8636951915586902E-3</v>
      </c>
      <c r="J172" s="22">
        <f t="shared" si="5"/>
        <v>134</v>
      </c>
    </row>
    <row r="173" spans="1:10" ht="15" customHeight="1" x14ac:dyDescent="0.35">
      <c r="A173" s="14">
        <v>171</v>
      </c>
      <c r="B173" s="17" t="str">
        <f>Normalisasi!B173</f>
        <v>Director of Finance</v>
      </c>
      <c r="C173" s="21">
        <f>Normalisasi!H173</f>
        <v>9.1</v>
      </c>
      <c r="D173" s="21">
        <f>Normalisasi!I173</f>
        <v>5.5</v>
      </c>
      <c r="E173" s="21">
        <f>Normalisasi!J173</f>
        <v>8.1999999999999993</v>
      </c>
      <c r="F173" s="21">
        <f>Normalisasi!K173</f>
        <v>7.4764670538754254</v>
      </c>
      <c r="G173" s="21">
        <f>Normalisasi!L173</f>
        <v>10</v>
      </c>
      <c r="H173" s="26">
        <f>MAX(C173,0.000000001)^'Asumsi &amp; Bobot'!$E$6*MAX(D173,0.000000001)^'Asumsi &amp; Bobot'!$E$7*MAX(E173,0.000000001)^'Asumsi &amp; Bobot'!$E$8*MAX(F173,0.000000001)^'Asumsi &amp; Bobot'!$E$9*MAX(G173,0.000000001)^'Asumsi &amp; Bobot'!$E$10</f>
        <v>4.4057186198977414</v>
      </c>
      <c r="I173" s="26">
        <f t="shared" si="4"/>
        <v>4.5519713143564004E-3</v>
      </c>
      <c r="J173" s="18">
        <f t="shared" si="5"/>
        <v>39</v>
      </c>
    </row>
    <row r="174" spans="1:10" ht="15" customHeight="1" x14ac:dyDescent="0.35">
      <c r="A174" s="11">
        <v>172</v>
      </c>
      <c r="B174" s="8" t="str">
        <f>Normalisasi!B174</f>
        <v>Junior Marketing Coordinator</v>
      </c>
      <c r="C174" s="25">
        <f>Normalisasi!H174</f>
        <v>2.8</v>
      </c>
      <c r="D174" s="25">
        <f>Normalisasi!I174</f>
        <v>1</v>
      </c>
      <c r="E174" s="25">
        <f>Normalisasi!J174</f>
        <v>1.72</v>
      </c>
      <c r="F174" s="25">
        <f>Normalisasi!K174</f>
        <v>2.4294011616262767</v>
      </c>
      <c r="G174" s="25">
        <f>Normalisasi!L174</f>
        <v>1</v>
      </c>
      <c r="H174" s="27">
        <f>MAX(C174,0.000000001)^'Asumsi &amp; Bobot'!$E$6*MAX(D174,0.000000001)^'Asumsi &amp; Bobot'!$E$7*MAX(E174,0.000000001)^'Asumsi &amp; Bobot'!$E$8*MAX(F174,0.000000001)^'Asumsi &amp; Bobot'!$E$9*MAX(G174,0.000000001)^'Asumsi &amp; Bobot'!$E$10</f>
        <v>1.3077995710957027</v>
      </c>
      <c r="I174" s="27">
        <f t="shared" si="4"/>
        <v>1.3512134219532648E-3</v>
      </c>
      <c r="J174" s="22">
        <f t="shared" si="5"/>
        <v>344</v>
      </c>
    </row>
    <row r="175" spans="1:10" ht="15" customHeight="1" x14ac:dyDescent="0.35">
      <c r="A175" s="14">
        <v>173</v>
      </c>
      <c r="B175" s="17" t="str">
        <f>Normalisasi!B175</f>
        <v>Senior Project Manager</v>
      </c>
      <c r="C175" s="21">
        <f>Normalisasi!H175</f>
        <v>7</v>
      </c>
      <c r="D175" s="21">
        <f>Normalisasi!I175</f>
        <v>1</v>
      </c>
      <c r="E175" s="21">
        <f>Normalisasi!J175</f>
        <v>6.76</v>
      </c>
      <c r="F175" s="21">
        <f>Normalisasi!K175</f>
        <v>6.0344482275185261</v>
      </c>
      <c r="G175" s="21">
        <f>Normalisasi!L175</f>
        <v>1</v>
      </c>
      <c r="H175" s="26">
        <f>MAX(C175,0.000000001)^'Asumsi &amp; Bobot'!$E$6*MAX(D175,0.000000001)^'Asumsi &amp; Bobot'!$E$7*MAX(E175,0.000000001)^'Asumsi &amp; Bobot'!$E$8*MAX(F175,0.000000001)^'Asumsi &amp; Bobot'!$E$9*MAX(G175,0.000000001)^'Asumsi &amp; Bobot'!$E$10</f>
        <v>2.1957530662889178</v>
      </c>
      <c r="I175" s="26">
        <f t="shared" si="4"/>
        <v>2.2686435139131172E-3</v>
      </c>
      <c r="J175" s="18">
        <f t="shared" si="5"/>
        <v>185</v>
      </c>
    </row>
    <row r="176" spans="1:10" ht="15" customHeight="1" x14ac:dyDescent="0.35">
      <c r="A176" s="11">
        <v>174</v>
      </c>
      <c r="B176" s="8" t="str">
        <f>Normalisasi!B176</f>
        <v>Junior Data Scientist</v>
      </c>
      <c r="C176" s="25">
        <f>Normalisasi!H176</f>
        <v>1.9</v>
      </c>
      <c r="D176" s="25">
        <f>Normalisasi!I176</f>
        <v>5.5</v>
      </c>
      <c r="E176" s="25">
        <f>Normalisasi!J176</f>
        <v>1.54</v>
      </c>
      <c r="F176" s="25">
        <f>Normalisasi!K176</f>
        <v>2.6096535149208893</v>
      </c>
      <c r="G176" s="25">
        <f>Normalisasi!L176</f>
        <v>10</v>
      </c>
      <c r="H176" s="27">
        <f>MAX(C176,0.000000001)^'Asumsi &amp; Bobot'!$E$6*MAX(D176,0.000000001)^'Asumsi &amp; Bobot'!$E$7*MAX(E176,0.000000001)^'Asumsi &amp; Bobot'!$E$8*MAX(F176,0.000000001)^'Asumsi &amp; Bobot'!$E$9*MAX(G176,0.000000001)^'Asumsi &amp; Bobot'!$E$10</f>
        <v>2.1223155903972519</v>
      </c>
      <c r="I176" s="27">
        <f t="shared" si="4"/>
        <v>2.1927681999182893E-3</v>
      </c>
      <c r="J176" s="22">
        <f t="shared" si="5"/>
        <v>200</v>
      </c>
    </row>
    <row r="177" spans="1:10" ht="15" customHeight="1" x14ac:dyDescent="0.35">
      <c r="A177" s="14">
        <v>175</v>
      </c>
      <c r="B177" s="17" t="str">
        <f>Normalisasi!B177</f>
        <v>Senior Operations Analyst</v>
      </c>
      <c r="C177" s="21">
        <f>Normalisasi!H177</f>
        <v>4.5999999999999996</v>
      </c>
      <c r="D177" s="21">
        <f>Normalisasi!I177</f>
        <v>1</v>
      </c>
      <c r="E177" s="21">
        <f>Normalisasi!J177</f>
        <v>3.52</v>
      </c>
      <c r="F177" s="21">
        <f>Normalisasi!K177</f>
        <v>4.0516723412777891</v>
      </c>
      <c r="G177" s="21">
        <f>Normalisasi!L177</f>
        <v>1</v>
      </c>
      <c r="H177" s="26">
        <f>MAX(C177,0.000000001)^'Asumsi &amp; Bobot'!$E$6*MAX(D177,0.000000001)^'Asumsi &amp; Bobot'!$E$7*MAX(E177,0.000000001)^'Asumsi &amp; Bobot'!$E$8*MAX(F177,0.000000001)^'Asumsi &amp; Bobot'!$E$9*MAX(G177,0.000000001)^'Asumsi &amp; Bobot'!$E$10</f>
        <v>1.7128311212664182</v>
      </c>
      <c r="I177" s="26">
        <f t="shared" si="4"/>
        <v>1.769690441674782E-3</v>
      </c>
      <c r="J177" s="18">
        <f t="shared" si="5"/>
        <v>267</v>
      </c>
    </row>
    <row r="178" spans="1:10" ht="15" customHeight="1" x14ac:dyDescent="0.35">
      <c r="A178" s="11">
        <v>176</v>
      </c>
      <c r="B178" s="8" t="str">
        <f>Normalisasi!B178</f>
        <v>Senior Marketing Manager</v>
      </c>
      <c r="C178" s="25">
        <f>Normalisasi!H178</f>
        <v>6.7</v>
      </c>
      <c r="D178" s="25">
        <f>Normalisasi!I178</f>
        <v>10</v>
      </c>
      <c r="E178" s="25">
        <f>Normalisasi!J178</f>
        <v>7.48</v>
      </c>
      <c r="F178" s="25">
        <f>Normalisasi!K178</f>
        <v>6.0344482275185261</v>
      </c>
      <c r="G178" s="25">
        <f>Normalisasi!L178</f>
        <v>10</v>
      </c>
      <c r="H178" s="27">
        <f>MAX(C178,0.000000001)^'Asumsi &amp; Bobot'!$E$6*MAX(D178,0.000000001)^'Asumsi &amp; Bobot'!$E$7*MAX(E178,0.000000001)^'Asumsi &amp; Bobot'!$E$8*MAX(F178,0.000000001)^'Asumsi &amp; Bobot'!$E$9*MAX(G178,0.000000001)^'Asumsi &amp; Bobot'!$E$10</f>
        <v>4.8502465759366062</v>
      </c>
      <c r="I178" s="27">
        <f t="shared" si="4"/>
        <v>5.0112558667514788E-3</v>
      </c>
      <c r="J178" s="22">
        <f t="shared" si="5"/>
        <v>7</v>
      </c>
    </row>
    <row r="179" spans="1:10" ht="15" customHeight="1" x14ac:dyDescent="0.35">
      <c r="A179" s="14">
        <v>177</v>
      </c>
      <c r="B179" s="17" t="str">
        <f>Normalisasi!B179</f>
        <v>Junior Accountant</v>
      </c>
      <c r="C179" s="21">
        <f>Normalisasi!H179</f>
        <v>3.4</v>
      </c>
      <c r="D179" s="21">
        <f>Normalisasi!I179</f>
        <v>1</v>
      </c>
      <c r="E179" s="21">
        <f>Normalisasi!J179</f>
        <v>2.44</v>
      </c>
      <c r="F179" s="21">
        <f>Normalisasi!K179</f>
        <v>2.7899058682155018</v>
      </c>
      <c r="G179" s="21">
        <f>Normalisasi!L179</f>
        <v>1</v>
      </c>
      <c r="H179" s="26">
        <f>MAX(C179,0.000000001)^'Asumsi &amp; Bobot'!$E$6*MAX(D179,0.000000001)^'Asumsi &amp; Bobot'!$E$7*MAX(E179,0.000000001)^'Asumsi &amp; Bobot'!$E$8*MAX(F179,0.000000001)^'Asumsi &amp; Bobot'!$E$9*MAX(G179,0.000000001)^'Asumsi &amp; Bobot'!$E$10</f>
        <v>1.4997324395879907</v>
      </c>
      <c r="I179" s="26">
        <f t="shared" si="4"/>
        <v>1.5495177139507673E-3</v>
      </c>
      <c r="J179" s="18">
        <f t="shared" si="5"/>
        <v>318</v>
      </c>
    </row>
    <row r="180" spans="1:10" ht="15" customHeight="1" x14ac:dyDescent="0.35">
      <c r="A180" s="11">
        <v>178</v>
      </c>
      <c r="B180" s="8" t="str">
        <f>Normalisasi!B180</f>
        <v>Senior Human Resources Coordinator</v>
      </c>
      <c r="C180" s="25">
        <f>Normalisasi!H180</f>
        <v>5.5</v>
      </c>
      <c r="D180" s="25">
        <f>Normalisasi!I180</f>
        <v>1</v>
      </c>
      <c r="E180" s="25">
        <f>Normalisasi!J180</f>
        <v>4.5999999999999996</v>
      </c>
      <c r="F180" s="25">
        <f>Normalisasi!K180</f>
        <v>3.8714199879831765</v>
      </c>
      <c r="G180" s="25">
        <f>Normalisasi!L180</f>
        <v>10</v>
      </c>
      <c r="H180" s="27">
        <f>MAX(C180,0.000000001)^'Asumsi &amp; Bobot'!$E$6*MAX(D180,0.000000001)^'Asumsi &amp; Bobot'!$E$7*MAX(E180,0.000000001)^'Asumsi &amp; Bobot'!$E$8*MAX(F180,0.000000001)^'Asumsi &amp; Bobot'!$E$9*MAX(G180,0.000000001)^'Asumsi &amp; Bobot'!$E$10</f>
        <v>2.2765425750292008</v>
      </c>
      <c r="I180" s="27">
        <f t="shared" si="4"/>
        <v>2.3521149196052151E-3</v>
      </c>
      <c r="J180" s="22">
        <f t="shared" si="5"/>
        <v>175</v>
      </c>
    </row>
    <row r="181" spans="1:10" ht="15" customHeight="1" x14ac:dyDescent="0.35">
      <c r="A181" s="14">
        <v>179</v>
      </c>
      <c r="B181" s="17" t="str">
        <f>Normalisasi!B181</f>
        <v>Director of Operations</v>
      </c>
      <c r="C181" s="21">
        <f>Normalisasi!H181</f>
        <v>7.9</v>
      </c>
      <c r="D181" s="21">
        <f>Normalisasi!I181</f>
        <v>5.5</v>
      </c>
      <c r="E181" s="21">
        <f>Normalisasi!J181</f>
        <v>8.1999999999999993</v>
      </c>
      <c r="F181" s="21">
        <f>Normalisasi!K181</f>
        <v>7.1159623472862004</v>
      </c>
      <c r="G181" s="21">
        <f>Normalisasi!L181</f>
        <v>1</v>
      </c>
      <c r="H181" s="26">
        <f>MAX(C181,0.000000001)^'Asumsi &amp; Bobot'!$E$6*MAX(D181,0.000000001)^'Asumsi &amp; Bobot'!$E$7*MAX(E181,0.000000001)^'Asumsi &amp; Bobot'!$E$8*MAX(F181,0.000000001)^'Asumsi &amp; Bobot'!$E$9*MAX(G181,0.000000001)^'Asumsi &amp; Bobot'!$E$10</f>
        <v>3.6976766775872911</v>
      </c>
      <c r="I181" s="26">
        <f t="shared" si="4"/>
        <v>3.8204251379387235E-3</v>
      </c>
      <c r="J181" s="18">
        <f t="shared" si="5"/>
        <v>88</v>
      </c>
    </row>
    <row r="182" spans="1:10" ht="15" customHeight="1" x14ac:dyDescent="0.35">
      <c r="A182" s="11">
        <v>180</v>
      </c>
      <c r="B182" s="8" t="str">
        <f>Normalisasi!B182</f>
        <v>Junior Sales Representative</v>
      </c>
      <c r="C182" s="25">
        <f>Normalisasi!H182</f>
        <v>2.8</v>
      </c>
      <c r="D182" s="25">
        <f>Normalisasi!I182</f>
        <v>1</v>
      </c>
      <c r="E182" s="25">
        <f>Normalisasi!J182</f>
        <v>1.72</v>
      </c>
      <c r="F182" s="25">
        <f>Normalisasi!K182</f>
        <v>2.4294011616262767</v>
      </c>
      <c r="G182" s="25">
        <f>Normalisasi!L182</f>
        <v>10</v>
      </c>
      <c r="H182" s="27">
        <f>MAX(C182,0.000000001)^'Asumsi &amp; Bobot'!$E$6*MAX(D182,0.000000001)^'Asumsi &amp; Bobot'!$E$7*MAX(E182,0.000000001)^'Asumsi &amp; Bobot'!$E$8*MAX(F182,0.000000001)^'Asumsi &amp; Bobot'!$E$9*MAX(G182,0.000000001)^'Asumsi &amp; Bobot'!$E$10</f>
        <v>1.5247823537972869</v>
      </c>
      <c r="I182" s="27">
        <f t="shared" si="4"/>
        <v>1.5753991877227921E-3</v>
      </c>
      <c r="J182" s="22">
        <f t="shared" si="5"/>
        <v>302</v>
      </c>
    </row>
    <row r="183" spans="1:10" ht="15" customHeight="1" x14ac:dyDescent="0.35">
      <c r="A183" s="14">
        <v>181</v>
      </c>
      <c r="B183" s="17" t="str">
        <f>Normalisasi!B183</f>
        <v>Senior Business Analyst</v>
      </c>
      <c r="C183" s="21">
        <f>Normalisasi!H183</f>
        <v>5.2</v>
      </c>
      <c r="D183" s="21">
        <f>Normalisasi!I183</f>
        <v>5.5</v>
      </c>
      <c r="E183" s="21">
        <f>Normalisasi!J183</f>
        <v>4.24</v>
      </c>
      <c r="F183" s="21">
        <f>Normalisasi!K183</f>
        <v>4.7726817544562383</v>
      </c>
      <c r="G183" s="21">
        <f>Normalisasi!L183</f>
        <v>1</v>
      </c>
      <c r="H183" s="26">
        <f>MAX(C183,0.000000001)^'Asumsi &amp; Bobot'!$E$6*MAX(D183,0.000000001)^'Asumsi &amp; Bobot'!$E$7*MAX(E183,0.000000001)^'Asumsi &amp; Bobot'!$E$8*MAX(F183,0.000000001)^'Asumsi &amp; Bobot'!$E$9*MAX(G183,0.000000001)^'Asumsi &amp; Bobot'!$E$10</f>
        <v>2.8790619372266577</v>
      </c>
      <c r="I183" s="26">
        <f t="shared" si="4"/>
        <v>2.9746355773431796E-3</v>
      </c>
      <c r="J183" s="18">
        <f t="shared" si="5"/>
        <v>130</v>
      </c>
    </row>
    <row r="184" spans="1:10" ht="15" customHeight="1" x14ac:dyDescent="0.35">
      <c r="A184" s="11">
        <v>182</v>
      </c>
      <c r="B184" s="8" t="str">
        <f>Normalisasi!B184</f>
        <v>Senior UX Designer</v>
      </c>
      <c r="C184" s="25">
        <f>Normalisasi!H184</f>
        <v>7.3</v>
      </c>
      <c r="D184" s="25">
        <f>Normalisasi!I184</f>
        <v>10</v>
      </c>
      <c r="E184" s="25">
        <f>Normalisasi!J184</f>
        <v>6.4</v>
      </c>
      <c r="F184" s="25">
        <f>Normalisasi!K184</f>
        <v>6.2147005808131386</v>
      </c>
      <c r="G184" s="25">
        <f>Normalisasi!L184</f>
        <v>10</v>
      </c>
      <c r="H184" s="27">
        <f>MAX(C184,0.000000001)^'Asumsi &amp; Bobot'!$E$6*MAX(D184,0.000000001)^'Asumsi &amp; Bobot'!$E$7*MAX(E184,0.000000001)^'Asumsi &amp; Bobot'!$E$8*MAX(F184,0.000000001)^'Asumsi &amp; Bobot'!$E$9*MAX(G184,0.000000001)^'Asumsi &amp; Bobot'!$E$10</f>
        <v>4.6658975865888754</v>
      </c>
      <c r="I184" s="27">
        <f t="shared" si="4"/>
        <v>4.8207872091409884E-3</v>
      </c>
      <c r="J184" s="22">
        <f t="shared" si="5"/>
        <v>17</v>
      </c>
    </row>
    <row r="185" spans="1:10" ht="15" customHeight="1" x14ac:dyDescent="0.35">
      <c r="A185" s="14">
        <v>183</v>
      </c>
      <c r="B185" s="17" t="str">
        <f>Normalisasi!B185</f>
        <v>Junior Product Manager</v>
      </c>
      <c r="C185" s="21">
        <f>Normalisasi!H185</f>
        <v>2.2000000000000002</v>
      </c>
      <c r="D185" s="21">
        <f>Normalisasi!I185</f>
        <v>1</v>
      </c>
      <c r="E185" s="21">
        <f>Normalisasi!J185</f>
        <v>1.72</v>
      </c>
      <c r="F185" s="21">
        <f>Normalisasi!K185</f>
        <v>2.4294011616262767</v>
      </c>
      <c r="G185" s="21">
        <f>Normalisasi!L185</f>
        <v>1</v>
      </c>
      <c r="H185" s="26">
        <f>MAX(C185,0.000000001)^'Asumsi &amp; Bobot'!$E$6*MAX(D185,0.000000001)^'Asumsi &amp; Bobot'!$E$7*MAX(E185,0.000000001)^'Asumsi &amp; Bobot'!$E$8*MAX(F185,0.000000001)^'Asumsi &amp; Bobot'!$E$9*MAX(G185,0.000000001)^'Asumsi &amp; Bobot'!$E$10</f>
        <v>1.2462182889853002</v>
      </c>
      <c r="I185" s="26">
        <f t="shared" si="4"/>
        <v>1.2875878811840844E-3</v>
      </c>
      <c r="J185" s="18">
        <f t="shared" si="5"/>
        <v>358</v>
      </c>
    </row>
    <row r="186" spans="1:10" ht="15" customHeight="1" x14ac:dyDescent="0.35">
      <c r="A186" s="11">
        <v>184</v>
      </c>
      <c r="B186" s="8" t="str">
        <f>Normalisasi!B186</f>
        <v>Senior Marketing Specialist</v>
      </c>
      <c r="C186" s="25">
        <f>Normalisasi!H186</f>
        <v>4.9000000000000004</v>
      </c>
      <c r="D186" s="25">
        <f>Normalisasi!I186</f>
        <v>1</v>
      </c>
      <c r="E186" s="25">
        <f>Normalisasi!J186</f>
        <v>3.88</v>
      </c>
      <c r="F186" s="25">
        <f>Normalisasi!K186</f>
        <v>4.0516723412777891</v>
      </c>
      <c r="G186" s="25">
        <f>Normalisasi!L186</f>
        <v>10</v>
      </c>
      <c r="H186" s="27">
        <f>MAX(C186,0.000000001)^'Asumsi &amp; Bobot'!$E$6*MAX(D186,0.000000001)^'Asumsi &amp; Bobot'!$E$7*MAX(E186,0.000000001)^'Asumsi &amp; Bobot'!$E$8*MAX(F186,0.000000001)^'Asumsi &amp; Bobot'!$E$9*MAX(G186,0.000000001)^'Asumsi &amp; Bobot'!$E$10</f>
        <v>2.0891287975860542</v>
      </c>
      <c r="I186" s="27">
        <f t="shared" si="4"/>
        <v>2.1584797348742895E-3</v>
      </c>
      <c r="J186" s="22">
        <f t="shared" si="5"/>
        <v>204</v>
      </c>
    </row>
    <row r="187" spans="1:10" ht="15" customHeight="1" x14ac:dyDescent="0.35">
      <c r="A187" s="14">
        <v>185</v>
      </c>
      <c r="B187" s="17" t="str">
        <f>Normalisasi!B187</f>
        <v>Senior IT Project Manager</v>
      </c>
      <c r="C187" s="21">
        <f>Normalisasi!H187</f>
        <v>7</v>
      </c>
      <c r="D187" s="21">
        <f>Normalisasi!I187</f>
        <v>1</v>
      </c>
      <c r="E187" s="21">
        <f>Normalisasi!J187</f>
        <v>6.04</v>
      </c>
      <c r="F187" s="21">
        <f>Normalisasi!K187</f>
        <v>5.673943520929301</v>
      </c>
      <c r="G187" s="21">
        <f>Normalisasi!L187</f>
        <v>1</v>
      </c>
      <c r="H187" s="26">
        <f>MAX(C187,0.000000001)^'Asumsi &amp; Bobot'!$E$6*MAX(D187,0.000000001)^'Asumsi &amp; Bobot'!$E$7*MAX(E187,0.000000001)^'Asumsi &amp; Bobot'!$E$8*MAX(F187,0.000000001)^'Asumsi &amp; Bobot'!$E$9*MAX(G187,0.000000001)^'Asumsi &amp; Bobot'!$E$10</f>
        <v>2.1322948259093759</v>
      </c>
      <c r="I187" s="26">
        <f t="shared" si="4"/>
        <v>2.2030787071724836E-3</v>
      </c>
      <c r="J187" s="18">
        <f t="shared" si="5"/>
        <v>197</v>
      </c>
    </row>
    <row r="188" spans="1:10" ht="15" customHeight="1" x14ac:dyDescent="0.35">
      <c r="A188" s="11">
        <v>186</v>
      </c>
      <c r="B188" s="8" t="str">
        <f>Normalisasi!B188</f>
        <v>Senior Financial Analyst</v>
      </c>
      <c r="C188" s="25">
        <f>Normalisasi!H188</f>
        <v>4</v>
      </c>
      <c r="D188" s="25">
        <f>Normalisasi!I188</f>
        <v>5.5</v>
      </c>
      <c r="E188" s="25">
        <f>Normalisasi!J188</f>
        <v>3.16</v>
      </c>
      <c r="F188" s="25">
        <f>Normalisasi!K188</f>
        <v>4.4121770478670133</v>
      </c>
      <c r="G188" s="25">
        <f>Normalisasi!L188</f>
        <v>10</v>
      </c>
      <c r="H188" s="27">
        <f>MAX(C188,0.000000001)^'Asumsi &amp; Bobot'!$E$6*MAX(D188,0.000000001)^'Asumsi &amp; Bobot'!$E$7*MAX(E188,0.000000001)^'Asumsi &amp; Bobot'!$E$8*MAX(F188,0.000000001)^'Asumsi &amp; Bobot'!$E$9*MAX(G188,0.000000001)^'Asumsi &amp; Bobot'!$E$10</f>
        <v>2.9182154484067251</v>
      </c>
      <c r="I188" s="27">
        <f t="shared" si="4"/>
        <v>3.0150888325608575E-3</v>
      </c>
      <c r="J188" s="22">
        <f t="shared" si="5"/>
        <v>124</v>
      </c>
    </row>
    <row r="189" spans="1:10" ht="15" customHeight="1" x14ac:dyDescent="0.35">
      <c r="A189" s="14">
        <v>187</v>
      </c>
      <c r="B189" s="17" t="str">
        <f>Normalisasi!B189</f>
        <v>Senior Quality Assurance Analyst</v>
      </c>
      <c r="C189" s="21">
        <f>Normalisasi!H189</f>
        <v>4.3</v>
      </c>
      <c r="D189" s="21">
        <f>Normalisasi!I189</f>
        <v>1</v>
      </c>
      <c r="E189" s="21">
        <f>Normalisasi!J189</f>
        <v>4.24</v>
      </c>
      <c r="F189" s="21">
        <f>Normalisasi!K189</f>
        <v>4.5924294011616258</v>
      </c>
      <c r="G189" s="21">
        <f>Normalisasi!L189</f>
        <v>1</v>
      </c>
      <c r="H189" s="26">
        <f>MAX(C189,0.000000001)^'Asumsi &amp; Bobot'!$E$6*MAX(D189,0.000000001)^'Asumsi &amp; Bobot'!$E$7*MAX(E189,0.000000001)^'Asumsi &amp; Bobot'!$E$8*MAX(F189,0.000000001)^'Asumsi &amp; Bobot'!$E$9*MAX(G189,0.000000001)^'Asumsi &amp; Bobot'!$E$10</f>
        <v>1.768248553525618</v>
      </c>
      <c r="I189" s="26">
        <f t="shared" si="4"/>
        <v>1.8269475167907189E-3</v>
      </c>
      <c r="J189" s="18">
        <f t="shared" si="5"/>
        <v>258</v>
      </c>
    </row>
    <row r="190" spans="1:10" ht="15" customHeight="1" x14ac:dyDescent="0.35">
      <c r="A190" s="11">
        <v>188</v>
      </c>
      <c r="B190" s="8" t="str">
        <f>Normalisasi!B190</f>
        <v>Director of Sales and Marketing</v>
      </c>
      <c r="C190" s="25">
        <f>Normalisasi!H190</f>
        <v>9.1</v>
      </c>
      <c r="D190" s="25">
        <f>Normalisasi!I190</f>
        <v>10</v>
      </c>
      <c r="E190" s="25">
        <f>Normalisasi!J190</f>
        <v>8.92</v>
      </c>
      <c r="F190" s="25">
        <f>Normalisasi!K190</f>
        <v>7.4764670538754254</v>
      </c>
      <c r="G190" s="25">
        <f>Normalisasi!L190</f>
        <v>10</v>
      </c>
      <c r="H190" s="27">
        <f>MAX(C190,0.000000001)^'Asumsi &amp; Bobot'!$E$6*MAX(D190,0.000000001)^'Asumsi &amp; Bobot'!$E$7*MAX(E190,0.000000001)^'Asumsi &amp; Bobot'!$E$8*MAX(F190,0.000000001)^'Asumsi &amp; Bobot'!$E$9*MAX(G190,0.000000001)^'Asumsi &amp; Bobot'!$E$10</f>
        <v>5.3141895380369997</v>
      </c>
      <c r="I190" s="27">
        <f t="shared" si="4"/>
        <v>5.4905999277726856E-3</v>
      </c>
      <c r="J190" s="22">
        <f t="shared" si="5"/>
        <v>2</v>
      </c>
    </row>
    <row r="191" spans="1:10" ht="15" customHeight="1" x14ac:dyDescent="0.35">
      <c r="A191" s="14">
        <v>189</v>
      </c>
      <c r="B191" s="17" t="str">
        <f>Normalisasi!B191</f>
        <v>Junior Operations Analyst</v>
      </c>
      <c r="C191" s="21">
        <f>Normalisasi!H191</f>
        <v>2.5</v>
      </c>
      <c r="D191" s="21">
        <f>Normalisasi!I191</f>
        <v>1</v>
      </c>
      <c r="E191" s="21">
        <f>Normalisasi!J191</f>
        <v>1.54</v>
      </c>
      <c r="F191" s="21">
        <f>Normalisasi!K191</f>
        <v>2.2491488083316646</v>
      </c>
      <c r="G191" s="21">
        <f>Normalisasi!L191</f>
        <v>1</v>
      </c>
      <c r="H191" s="26">
        <f>MAX(C191,0.000000001)^'Asumsi &amp; Bobot'!$E$6*MAX(D191,0.000000001)^'Asumsi &amp; Bobot'!$E$7*MAX(E191,0.000000001)^'Asumsi &amp; Bobot'!$E$8*MAX(F191,0.000000001)^'Asumsi &amp; Bobot'!$E$9*MAX(G191,0.000000001)^'Asumsi &amp; Bobot'!$E$10</f>
        <v>1.2449707556699872</v>
      </c>
      <c r="I191" s="26">
        <f t="shared" si="4"/>
        <v>1.2862989346228216E-3</v>
      </c>
      <c r="J191" s="18">
        <f t="shared" si="5"/>
        <v>360</v>
      </c>
    </row>
    <row r="192" spans="1:10" ht="15" customHeight="1" x14ac:dyDescent="0.35">
      <c r="A192" s="11">
        <v>190</v>
      </c>
      <c r="B192" s="8" t="str">
        <f>Normalisasi!B192</f>
        <v>Senior Account Executive</v>
      </c>
      <c r="C192" s="25">
        <f>Normalisasi!H192</f>
        <v>5.8</v>
      </c>
      <c r="D192" s="25">
        <f>Normalisasi!I192</f>
        <v>1</v>
      </c>
      <c r="E192" s="25">
        <f>Normalisasi!J192</f>
        <v>5.32</v>
      </c>
      <c r="F192" s="25">
        <f>Normalisasi!K192</f>
        <v>4.4121770478670133</v>
      </c>
      <c r="G192" s="25">
        <f>Normalisasi!L192</f>
        <v>10</v>
      </c>
      <c r="H192" s="27">
        <f>MAX(C192,0.000000001)^'Asumsi &amp; Bobot'!$E$6*MAX(D192,0.000000001)^'Asumsi &amp; Bobot'!$E$7*MAX(E192,0.000000001)^'Asumsi &amp; Bobot'!$E$8*MAX(F192,0.000000001)^'Asumsi &amp; Bobot'!$E$9*MAX(G192,0.000000001)^'Asumsi &amp; Bobot'!$E$10</f>
        <v>2.3733898751120459</v>
      </c>
      <c r="I192" s="27">
        <f t="shared" si="4"/>
        <v>2.4521771727547843E-3</v>
      </c>
      <c r="J192" s="22">
        <f t="shared" si="5"/>
        <v>166</v>
      </c>
    </row>
    <row r="193" spans="1:10" ht="15" customHeight="1" x14ac:dyDescent="0.35">
      <c r="A193" s="14">
        <v>191</v>
      </c>
      <c r="B193" s="17" t="str">
        <f>Normalisasi!B193</f>
        <v>Director of Business Development</v>
      </c>
      <c r="C193" s="21">
        <f>Normalisasi!H193</f>
        <v>8.1999999999999993</v>
      </c>
      <c r="D193" s="21">
        <f>Normalisasi!I193</f>
        <v>5.5</v>
      </c>
      <c r="E193" s="21">
        <f>Normalisasi!J193</f>
        <v>7.84</v>
      </c>
      <c r="F193" s="21">
        <f>Normalisasi!K193</f>
        <v>7.1159623472862004</v>
      </c>
      <c r="G193" s="21">
        <f>Normalisasi!L193</f>
        <v>1</v>
      </c>
      <c r="H193" s="26">
        <f>MAX(C193,0.000000001)^'Asumsi &amp; Bobot'!$E$6*MAX(D193,0.000000001)^'Asumsi &amp; Bobot'!$E$7*MAX(E193,0.000000001)^'Asumsi &amp; Bobot'!$E$8*MAX(F193,0.000000001)^'Asumsi &amp; Bobot'!$E$9*MAX(G193,0.000000001)^'Asumsi &amp; Bobot'!$E$10</f>
        <v>3.6700081022801267</v>
      </c>
      <c r="I193" s="26">
        <f t="shared" si="4"/>
        <v>3.7918380737221153E-3</v>
      </c>
      <c r="J193" s="18">
        <f t="shared" si="5"/>
        <v>91</v>
      </c>
    </row>
    <row r="194" spans="1:10" ht="15" customHeight="1" x14ac:dyDescent="0.35">
      <c r="A194" s="11">
        <v>192</v>
      </c>
      <c r="B194" s="8" t="str">
        <f>Normalisasi!B194</f>
        <v>Junior Social Media Manager</v>
      </c>
      <c r="C194" s="25">
        <f>Normalisasi!H194</f>
        <v>3.1</v>
      </c>
      <c r="D194" s="25">
        <f>Normalisasi!I194</f>
        <v>1</v>
      </c>
      <c r="E194" s="25">
        <f>Normalisasi!J194</f>
        <v>2.08</v>
      </c>
      <c r="F194" s="25">
        <f>Normalisasi!K194</f>
        <v>2.6096535149208893</v>
      </c>
      <c r="G194" s="25">
        <f>Normalisasi!L194</f>
        <v>10</v>
      </c>
      <c r="H194" s="27">
        <f>MAX(C194,0.000000001)^'Asumsi &amp; Bobot'!$E$6*MAX(D194,0.000000001)^'Asumsi &amp; Bobot'!$E$7*MAX(E194,0.000000001)^'Asumsi &amp; Bobot'!$E$8*MAX(F194,0.000000001)^'Asumsi &amp; Bobot'!$E$9*MAX(G194,0.000000001)^'Asumsi &amp; Bobot'!$E$10</f>
        <v>1.6421610127089024</v>
      </c>
      <c r="I194" s="27">
        <f t="shared" si="4"/>
        <v>1.6966743608285361E-3</v>
      </c>
      <c r="J194" s="22">
        <f t="shared" si="5"/>
        <v>283</v>
      </c>
    </row>
    <row r="195" spans="1:10" ht="15" customHeight="1" x14ac:dyDescent="0.35">
      <c r="A195" s="14">
        <v>193</v>
      </c>
      <c r="B195" s="17" t="str">
        <f>Normalisasi!B195</f>
        <v>Senior Product Manager</v>
      </c>
      <c r="C195" s="21">
        <f>Normalisasi!H195</f>
        <v>4.3</v>
      </c>
      <c r="D195" s="21">
        <f>Normalisasi!I195</f>
        <v>1</v>
      </c>
      <c r="E195" s="21">
        <f>Normalisasi!J195</f>
        <v>3.52</v>
      </c>
      <c r="F195" s="21">
        <f>Normalisasi!K195</f>
        <v>4.4121770478670133</v>
      </c>
      <c r="G195" s="21">
        <f>Normalisasi!L195</f>
        <v>1</v>
      </c>
      <c r="H195" s="26">
        <f>MAX(C195,0.000000001)^'Asumsi &amp; Bobot'!$E$6*MAX(D195,0.000000001)^'Asumsi &amp; Bobot'!$E$7*MAX(E195,0.000000001)^'Asumsi &amp; Bobot'!$E$8*MAX(F195,0.000000001)^'Asumsi &amp; Bobot'!$E$9*MAX(G195,0.000000001)^'Asumsi &amp; Bobot'!$E$10</f>
        <v>1.6707861048990094</v>
      </c>
      <c r="I195" s="26">
        <f t="shared" ref="I195:I258" si="6">H195/SUM($H$3:$H$375)</f>
        <v>1.7262496945622185E-3</v>
      </c>
      <c r="J195" s="18">
        <f t="shared" ref="J195:J258" si="7">RANK(I195,$I$3:$I$375,0)</f>
        <v>276</v>
      </c>
    </row>
    <row r="196" spans="1:10" ht="15" customHeight="1" x14ac:dyDescent="0.35">
      <c r="A196" s="11">
        <v>194</v>
      </c>
      <c r="B196" s="8" t="str">
        <f>Normalisasi!B196</f>
        <v>Senior Human Resources Specialist</v>
      </c>
      <c r="C196" s="25">
        <f>Normalisasi!H196</f>
        <v>6.1</v>
      </c>
      <c r="D196" s="25">
        <f>Normalisasi!I196</f>
        <v>5.5</v>
      </c>
      <c r="E196" s="25">
        <f>Normalisasi!J196</f>
        <v>5.68</v>
      </c>
      <c r="F196" s="25">
        <f>Normalisasi!K196</f>
        <v>5.3134388143400759</v>
      </c>
      <c r="G196" s="25">
        <f>Normalisasi!L196</f>
        <v>10</v>
      </c>
      <c r="H196" s="27">
        <f>MAX(C196,0.000000001)^'Asumsi &amp; Bobot'!$E$6*MAX(D196,0.000000001)^'Asumsi &amp; Bobot'!$E$7*MAX(E196,0.000000001)^'Asumsi &amp; Bobot'!$E$8*MAX(F196,0.000000001)^'Asumsi &amp; Bobot'!$E$9*MAX(G196,0.000000001)^'Asumsi &amp; Bobot'!$E$10</f>
        <v>3.7661305600339561</v>
      </c>
      <c r="I196" s="27">
        <f t="shared" si="6"/>
        <v>3.8911514226011735E-3</v>
      </c>
      <c r="J196" s="22">
        <f t="shared" si="7"/>
        <v>82</v>
      </c>
    </row>
    <row r="197" spans="1:10" ht="15" customHeight="1" x14ac:dyDescent="0.35">
      <c r="A197" s="14">
        <v>195</v>
      </c>
      <c r="B197" s="17" t="str">
        <f>Normalisasi!B197</f>
        <v>Junior Business Analyst</v>
      </c>
      <c r="C197" s="21">
        <f>Normalisasi!H197</f>
        <v>2.5</v>
      </c>
      <c r="D197" s="21">
        <f>Normalisasi!I197</f>
        <v>1</v>
      </c>
      <c r="E197" s="21">
        <f>Normalisasi!J197</f>
        <v>1.72</v>
      </c>
      <c r="F197" s="21">
        <f>Normalisasi!K197</f>
        <v>2.4294011616262767</v>
      </c>
      <c r="G197" s="21">
        <f>Normalisasi!L197</f>
        <v>1</v>
      </c>
      <c r="H197" s="26">
        <f>MAX(C197,0.000000001)^'Asumsi &amp; Bobot'!$E$6*MAX(D197,0.000000001)^'Asumsi &amp; Bobot'!$E$7*MAX(E197,0.000000001)^'Asumsi &amp; Bobot'!$E$8*MAX(F197,0.000000001)^'Asumsi &amp; Bobot'!$E$9*MAX(G197,0.000000001)^'Asumsi &amp; Bobot'!$E$10</f>
        <v>1.2784907377815737</v>
      </c>
      <c r="I197" s="26">
        <f t="shared" si="6"/>
        <v>1.3209316495539497E-3</v>
      </c>
      <c r="J197" s="18">
        <f t="shared" si="7"/>
        <v>347</v>
      </c>
    </row>
    <row r="198" spans="1:10" ht="15" customHeight="1" x14ac:dyDescent="0.35">
      <c r="A198" s="11">
        <v>196</v>
      </c>
      <c r="B198" s="8" t="str">
        <f>Normalisasi!B198</f>
        <v>Senior Marketing Coordinator</v>
      </c>
      <c r="C198" s="25">
        <f>Normalisasi!H198</f>
        <v>6.4</v>
      </c>
      <c r="D198" s="25">
        <f>Normalisasi!I198</f>
        <v>1</v>
      </c>
      <c r="E198" s="25">
        <f>Normalisasi!J198</f>
        <v>4.96</v>
      </c>
      <c r="F198" s="25">
        <f>Normalisasi!K198</f>
        <v>4.2319246945724007</v>
      </c>
      <c r="G198" s="25">
        <f>Normalisasi!L198</f>
        <v>10</v>
      </c>
      <c r="H198" s="27">
        <f>MAX(C198,0.000000001)^'Asumsi &amp; Bobot'!$E$6*MAX(D198,0.000000001)^'Asumsi &amp; Bobot'!$E$7*MAX(E198,0.000000001)^'Asumsi &amp; Bobot'!$E$8*MAX(F198,0.000000001)^'Asumsi &amp; Bobot'!$E$9*MAX(G198,0.000000001)^'Asumsi &amp; Bobot'!$E$10</f>
        <v>2.3778885526521503</v>
      </c>
      <c r="I198" s="27">
        <f t="shared" si="6"/>
        <v>2.4568251888633505E-3</v>
      </c>
      <c r="J198" s="22">
        <f t="shared" si="7"/>
        <v>165</v>
      </c>
    </row>
    <row r="199" spans="1:10" ht="15" customHeight="1" x14ac:dyDescent="0.35">
      <c r="A199" s="14">
        <v>197</v>
      </c>
      <c r="B199" s="17" t="str">
        <f>Normalisasi!B199</f>
        <v>Senior Data Analyst</v>
      </c>
      <c r="C199" s="21">
        <f>Normalisasi!H199</f>
        <v>7.6</v>
      </c>
      <c r="D199" s="21">
        <f>Normalisasi!I199</f>
        <v>10</v>
      </c>
      <c r="E199" s="21">
        <f>Normalisasi!J199</f>
        <v>7.12</v>
      </c>
      <c r="F199" s="21">
        <f>Normalisasi!K199</f>
        <v>6.5752052874023637</v>
      </c>
      <c r="G199" s="21">
        <f>Normalisasi!L199</f>
        <v>1</v>
      </c>
      <c r="H199" s="26">
        <f>MAX(C199,0.000000001)^'Asumsi &amp; Bobot'!$E$6*MAX(D199,0.000000001)^'Asumsi &amp; Bobot'!$E$7*MAX(E199,0.000000001)^'Asumsi &amp; Bobot'!$E$8*MAX(F199,0.000000001)^'Asumsi &amp; Bobot'!$E$9*MAX(G199,0.000000001)^'Asumsi &amp; Bobot'!$E$10</f>
        <v>4.1489175797502043</v>
      </c>
      <c r="I199" s="26">
        <f t="shared" si="6"/>
        <v>4.28664548011699E-3</v>
      </c>
      <c r="J199" s="18">
        <f t="shared" si="7"/>
        <v>54</v>
      </c>
    </row>
    <row r="200" spans="1:10" ht="15" customHeight="1" x14ac:dyDescent="0.35">
      <c r="A200" s="11">
        <v>198</v>
      </c>
      <c r="B200" s="8" t="str">
        <f>Normalisasi!B200</f>
        <v>Junior Account Manager</v>
      </c>
      <c r="C200" s="25">
        <f>Normalisasi!H200</f>
        <v>3.7</v>
      </c>
      <c r="D200" s="25">
        <f>Normalisasi!I200</f>
        <v>1</v>
      </c>
      <c r="E200" s="25">
        <f>Normalisasi!J200</f>
        <v>2.8</v>
      </c>
      <c r="F200" s="25">
        <f>Normalisasi!K200</f>
        <v>2.9701582215101139</v>
      </c>
      <c r="G200" s="25">
        <f>Normalisasi!L200</f>
        <v>10</v>
      </c>
      <c r="H200" s="27">
        <f>MAX(C200,0.000000001)^'Asumsi &amp; Bobot'!$E$6*MAX(D200,0.000000001)^'Asumsi &amp; Bobot'!$E$7*MAX(E200,0.000000001)^'Asumsi &amp; Bobot'!$E$8*MAX(F200,0.000000001)^'Asumsi &amp; Bobot'!$E$9*MAX(G200,0.000000001)^'Asumsi &amp; Bobot'!$E$10</f>
        <v>1.8463856262766825</v>
      </c>
      <c r="I200" s="27">
        <f t="shared" si="6"/>
        <v>1.9076784359520701E-3</v>
      </c>
      <c r="J200" s="22">
        <f t="shared" si="7"/>
        <v>236</v>
      </c>
    </row>
    <row r="201" spans="1:10" ht="15" customHeight="1" x14ac:dyDescent="0.35">
      <c r="A201" s="14">
        <v>199</v>
      </c>
      <c r="B201" s="17" t="str">
        <f>Normalisasi!B201</f>
        <v>Senior Software Developer</v>
      </c>
      <c r="C201" s="21">
        <f>Normalisasi!H201</f>
        <v>4.5999999999999996</v>
      </c>
      <c r="D201" s="21">
        <f>Normalisasi!I201</f>
        <v>5.5</v>
      </c>
      <c r="E201" s="21">
        <f>Normalisasi!J201</f>
        <v>4.24</v>
      </c>
      <c r="F201" s="21">
        <f>Normalisasi!K201</f>
        <v>4.9529341077508509</v>
      </c>
      <c r="G201" s="21">
        <f>Normalisasi!L201</f>
        <v>1</v>
      </c>
      <c r="H201" s="26">
        <f>MAX(C201,0.000000001)^'Asumsi &amp; Bobot'!$E$6*MAX(D201,0.000000001)^'Asumsi &amp; Bobot'!$E$7*MAX(E201,0.000000001)^'Asumsi &amp; Bobot'!$E$8*MAX(F201,0.000000001)^'Asumsi &amp; Bobot'!$E$9*MAX(G201,0.000000001)^'Asumsi &amp; Bobot'!$E$10</f>
        <v>2.7954725303144956</v>
      </c>
      <c r="I201" s="26">
        <f t="shared" si="6"/>
        <v>2.888271327767691E-3</v>
      </c>
      <c r="J201" s="18">
        <f t="shared" si="7"/>
        <v>133</v>
      </c>
    </row>
    <row r="202" spans="1:10" ht="15" customHeight="1" x14ac:dyDescent="0.35">
      <c r="A202" s="11">
        <v>200</v>
      </c>
      <c r="B202" s="8" t="str">
        <f>Normalisasi!B202</f>
        <v>Director of Human Capital</v>
      </c>
      <c r="C202" s="25">
        <f>Normalisasi!H202</f>
        <v>8.8000000000000007</v>
      </c>
      <c r="D202" s="25">
        <f>Normalisasi!I202</f>
        <v>5.5</v>
      </c>
      <c r="E202" s="25">
        <f>Normalisasi!J202</f>
        <v>8.5599999999999987</v>
      </c>
      <c r="F202" s="25">
        <f>Normalisasi!K202</f>
        <v>7.4764670538754254</v>
      </c>
      <c r="G202" s="25">
        <f>Normalisasi!L202</f>
        <v>10</v>
      </c>
      <c r="H202" s="27">
        <f>MAX(C202,0.000000001)^'Asumsi &amp; Bobot'!$E$6*MAX(D202,0.000000001)^'Asumsi &amp; Bobot'!$E$7*MAX(E202,0.000000001)^'Asumsi &amp; Bobot'!$E$8*MAX(F202,0.000000001)^'Asumsi &amp; Bobot'!$E$9*MAX(G202,0.000000001)^'Asumsi &amp; Bobot'!$E$10</f>
        <v>4.4394072130515561</v>
      </c>
      <c r="I202" s="27">
        <f t="shared" si="6"/>
        <v>4.5867782375594874E-3</v>
      </c>
      <c r="J202" s="22">
        <f t="shared" si="7"/>
        <v>34</v>
      </c>
    </row>
    <row r="203" spans="1:10" ht="15" customHeight="1" x14ac:dyDescent="0.35">
      <c r="A203" s="14">
        <v>201</v>
      </c>
      <c r="B203" s="17" t="str">
        <f>Normalisasi!B203</f>
        <v>Junior Advertising Coordinator</v>
      </c>
      <c r="C203" s="21">
        <f>Normalisasi!H203</f>
        <v>3.1</v>
      </c>
      <c r="D203" s="21">
        <f>Normalisasi!I203</f>
        <v>1</v>
      </c>
      <c r="E203" s="21">
        <f>Normalisasi!J203</f>
        <v>2.08</v>
      </c>
      <c r="F203" s="21">
        <f>Normalisasi!K203</f>
        <v>2.6096535149208893</v>
      </c>
      <c r="G203" s="21">
        <f>Normalisasi!L203</f>
        <v>1</v>
      </c>
      <c r="H203" s="26">
        <f>MAX(C203,0.000000001)^'Asumsi &amp; Bobot'!$E$6*MAX(D203,0.000000001)^'Asumsi &amp; Bobot'!$E$7*MAX(E203,0.000000001)^'Asumsi &amp; Bobot'!$E$8*MAX(F203,0.000000001)^'Asumsi &amp; Bobot'!$E$9*MAX(G203,0.000000001)^'Asumsi &amp; Bobot'!$E$10</f>
        <v>1.4084747654262948</v>
      </c>
      <c r="I203" s="26">
        <f t="shared" si="6"/>
        <v>1.4552306405269623E-3</v>
      </c>
      <c r="J203" s="18">
        <f t="shared" si="7"/>
        <v>336</v>
      </c>
    </row>
    <row r="204" spans="1:10" ht="15" customHeight="1" x14ac:dyDescent="0.35">
      <c r="A204" s="11">
        <v>202</v>
      </c>
      <c r="B204" s="8" t="str">
        <f>Normalisasi!B204</f>
        <v>Senior Sales Manager</v>
      </c>
      <c r="C204" s="25">
        <f>Normalisasi!H204</f>
        <v>7.3</v>
      </c>
      <c r="D204" s="25">
        <f>Normalisasi!I204</f>
        <v>1</v>
      </c>
      <c r="E204" s="25">
        <f>Normalisasi!J204</f>
        <v>6.76</v>
      </c>
      <c r="F204" s="25">
        <f>Normalisasi!K204</f>
        <v>5.673943520929301</v>
      </c>
      <c r="G204" s="25">
        <f>Normalisasi!L204</f>
        <v>1</v>
      </c>
      <c r="H204" s="27">
        <f>MAX(C204,0.000000001)^'Asumsi &amp; Bobot'!$E$6*MAX(D204,0.000000001)^'Asumsi &amp; Bobot'!$E$7*MAX(E204,0.000000001)^'Asumsi &amp; Bobot'!$E$8*MAX(F204,0.000000001)^'Asumsi &amp; Bobot'!$E$9*MAX(G204,0.000000001)^'Asumsi &amp; Bobot'!$E$10</f>
        <v>2.2325205723682249</v>
      </c>
      <c r="I204" s="27">
        <f t="shared" si="6"/>
        <v>2.3066315579560472E-3</v>
      </c>
      <c r="J204" s="22">
        <f t="shared" si="7"/>
        <v>178</v>
      </c>
    </row>
    <row r="205" spans="1:10" ht="15" customHeight="1" x14ac:dyDescent="0.35">
      <c r="A205" s="14">
        <v>203</v>
      </c>
      <c r="B205" s="17" t="str">
        <f>Normalisasi!B205</f>
        <v>Junior UX Designer</v>
      </c>
      <c r="C205" s="21">
        <f>Normalisasi!H205</f>
        <v>2.2000000000000002</v>
      </c>
      <c r="D205" s="21">
        <f>Normalisasi!I205</f>
        <v>5.5</v>
      </c>
      <c r="E205" s="21">
        <f>Normalisasi!J205</f>
        <v>1.54</v>
      </c>
      <c r="F205" s="21">
        <f>Normalisasi!K205</f>
        <v>2.6096535149208893</v>
      </c>
      <c r="G205" s="21">
        <f>Normalisasi!L205</f>
        <v>10</v>
      </c>
      <c r="H205" s="26">
        <f>MAX(C205,0.000000001)^'Asumsi &amp; Bobot'!$E$6*MAX(D205,0.000000001)^'Asumsi &amp; Bobot'!$E$7*MAX(E205,0.000000001)^'Asumsi &amp; Bobot'!$E$8*MAX(F205,0.000000001)^'Asumsi &amp; Bobot'!$E$9*MAX(G205,0.000000001)^'Asumsi &amp; Bobot'!$E$10</f>
        <v>2.1854646208460573</v>
      </c>
      <c r="I205" s="26">
        <f t="shared" si="6"/>
        <v>2.2580135321631006E-3</v>
      </c>
      <c r="J205" s="18">
        <f t="shared" si="7"/>
        <v>189</v>
      </c>
    </row>
    <row r="206" spans="1:10" ht="15" customHeight="1" x14ac:dyDescent="0.35">
      <c r="A206" s="11">
        <v>204</v>
      </c>
      <c r="B206" s="8" t="str">
        <f>Normalisasi!B206</f>
        <v>Senior Accountant</v>
      </c>
      <c r="C206" s="25">
        <f>Normalisasi!H206</f>
        <v>4.9000000000000004</v>
      </c>
      <c r="D206" s="25">
        <f>Normalisasi!I206</f>
        <v>1</v>
      </c>
      <c r="E206" s="25">
        <f>Normalisasi!J206</f>
        <v>3.52</v>
      </c>
      <c r="F206" s="25">
        <f>Normalisasi!K206</f>
        <v>4.2319246945724007</v>
      </c>
      <c r="G206" s="25">
        <f>Normalisasi!L206</f>
        <v>1</v>
      </c>
      <c r="H206" s="27">
        <f>MAX(C206,0.000000001)^'Asumsi &amp; Bobot'!$E$6*MAX(D206,0.000000001)^'Asumsi &amp; Bobot'!$E$7*MAX(E206,0.000000001)^'Asumsi &amp; Bobot'!$E$8*MAX(F206,0.000000001)^'Asumsi &amp; Bobot'!$E$9*MAX(G206,0.000000001)^'Asumsi &amp; Bobot'!$E$10</f>
        <v>1.7245735184114868</v>
      </c>
      <c r="I206" s="27">
        <f t="shared" si="6"/>
        <v>1.7818226406592405E-3</v>
      </c>
      <c r="J206" s="22">
        <f t="shared" si="7"/>
        <v>264</v>
      </c>
    </row>
    <row r="207" spans="1:10" ht="15" customHeight="1" x14ac:dyDescent="0.35">
      <c r="A207" s="14">
        <v>205</v>
      </c>
      <c r="B207" s="17" t="str">
        <f>Normalisasi!B207</f>
        <v>Senior Marketing Director</v>
      </c>
      <c r="C207" s="21">
        <f>Normalisasi!H207</f>
        <v>6.4</v>
      </c>
      <c r="D207" s="21">
        <f>Normalisasi!I207</f>
        <v>10</v>
      </c>
      <c r="E207" s="21">
        <f>Normalisasi!J207</f>
        <v>7.12</v>
      </c>
      <c r="F207" s="21">
        <f>Normalisasi!K207</f>
        <v>6.7554576406969762</v>
      </c>
      <c r="G207" s="21">
        <f>Normalisasi!L207</f>
        <v>10</v>
      </c>
      <c r="H207" s="26">
        <f>MAX(C207,0.000000001)^'Asumsi &amp; Bobot'!$E$6*MAX(D207,0.000000001)^'Asumsi &amp; Bobot'!$E$7*MAX(E207,0.000000001)^'Asumsi &amp; Bobot'!$E$8*MAX(F207,0.000000001)^'Asumsi &amp; Bobot'!$E$9*MAX(G207,0.000000001)^'Asumsi &amp; Bobot'!$E$10</f>
        <v>4.6570262866885095</v>
      </c>
      <c r="I207" s="26">
        <f t="shared" si="6"/>
        <v>4.8116214166445863E-3</v>
      </c>
      <c r="J207" s="18">
        <f t="shared" si="7"/>
        <v>18</v>
      </c>
    </row>
    <row r="208" spans="1:10" ht="15" customHeight="1" x14ac:dyDescent="0.35">
      <c r="A208" s="11">
        <v>206</v>
      </c>
      <c r="B208" s="8" t="str">
        <f>Normalisasi!B208</f>
        <v>Junior HR Generalist</v>
      </c>
      <c r="C208" s="25">
        <f>Normalisasi!H208</f>
        <v>3.4</v>
      </c>
      <c r="D208" s="25">
        <f>Normalisasi!I208</f>
        <v>1</v>
      </c>
      <c r="E208" s="25">
        <f>Normalisasi!J208</f>
        <v>2.44</v>
      </c>
      <c r="F208" s="25">
        <f>Normalisasi!K208</f>
        <v>2.7899058682155018</v>
      </c>
      <c r="G208" s="25">
        <f>Normalisasi!L208</f>
        <v>1</v>
      </c>
      <c r="H208" s="27">
        <f>MAX(C208,0.000000001)^'Asumsi &amp; Bobot'!$E$6*MAX(D208,0.000000001)^'Asumsi &amp; Bobot'!$E$7*MAX(E208,0.000000001)^'Asumsi &amp; Bobot'!$E$8*MAX(F208,0.000000001)^'Asumsi &amp; Bobot'!$E$9*MAX(G208,0.000000001)^'Asumsi &amp; Bobot'!$E$10</f>
        <v>1.4997324395879907</v>
      </c>
      <c r="I208" s="27">
        <f t="shared" si="6"/>
        <v>1.5495177139507673E-3</v>
      </c>
      <c r="J208" s="22">
        <f t="shared" si="7"/>
        <v>318</v>
      </c>
    </row>
    <row r="209" spans="1:10" ht="15" customHeight="1" x14ac:dyDescent="0.35">
      <c r="A209" s="14">
        <v>207</v>
      </c>
      <c r="B209" s="17" t="str">
        <f>Normalisasi!B209</f>
        <v>Senior Operations Manager</v>
      </c>
      <c r="C209" s="21">
        <f>Normalisasi!H209</f>
        <v>5.8</v>
      </c>
      <c r="D209" s="21">
        <f>Normalisasi!I209</f>
        <v>1</v>
      </c>
      <c r="E209" s="21">
        <f>Normalisasi!J209</f>
        <v>4.5999999999999996</v>
      </c>
      <c r="F209" s="21">
        <f>Normalisasi!K209</f>
        <v>5.3134388143400759</v>
      </c>
      <c r="G209" s="21">
        <f>Normalisasi!L209</f>
        <v>10</v>
      </c>
      <c r="H209" s="26">
        <f>MAX(C209,0.000000001)^'Asumsi &amp; Bobot'!$E$6*MAX(D209,0.000000001)^'Asumsi &amp; Bobot'!$E$7*MAX(E209,0.000000001)^'Asumsi &amp; Bobot'!$E$8*MAX(F209,0.000000001)^'Asumsi &amp; Bobot'!$E$9*MAX(G209,0.000000001)^'Asumsi &amp; Bobot'!$E$10</f>
        <v>2.2057423656276116</v>
      </c>
      <c r="I209" s="26">
        <f t="shared" si="6"/>
        <v>2.2789644190737172E-3</v>
      </c>
      <c r="J209" s="18">
        <f t="shared" si="7"/>
        <v>181</v>
      </c>
    </row>
    <row r="210" spans="1:10" ht="15" customHeight="1" x14ac:dyDescent="0.35">
      <c r="A210" s="11">
        <v>208</v>
      </c>
      <c r="B210" s="8" t="str">
        <f>Normalisasi!B210</f>
        <v>Director of Finance</v>
      </c>
      <c r="C210" s="25">
        <f>Normalisasi!H210</f>
        <v>8.1999999999999993</v>
      </c>
      <c r="D210" s="25">
        <f>Normalisasi!I210</f>
        <v>5.5</v>
      </c>
      <c r="E210" s="25">
        <f>Normalisasi!J210</f>
        <v>8.1999999999999993</v>
      </c>
      <c r="F210" s="25">
        <f>Normalisasi!K210</f>
        <v>7.1159623472862004</v>
      </c>
      <c r="G210" s="25">
        <f>Normalisasi!L210</f>
        <v>1</v>
      </c>
      <c r="H210" s="27">
        <f>MAX(C210,0.000000001)^'Asumsi &amp; Bobot'!$E$6*MAX(D210,0.000000001)^'Asumsi &amp; Bobot'!$E$7*MAX(E210,0.000000001)^'Asumsi &amp; Bobot'!$E$8*MAX(F210,0.000000001)^'Asumsi &amp; Bobot'!$E$9*MAX(G210,0.000000001)^'Asumsi &amp; Bobot'!$E$10</f>
        <v>3.7253431798464476</v>
      </c>
      <c r="I210" s="27">
        <f t="shared" si="6"/>
        <v>3.8490100602902055E-3</v>
      </c>
      <c r="J210" s="22">
        <f t="shared" si="7"/>
        <v>85</v>
      </c>
    </row>
    <row r="211" spans="1:10" ht="15" customHeight="1" x14ac:dyDescent="0.35">
      <c r="A211" s="14">
        <v>209</v>
      </c>
      <c r="B211" s="17" t="str">
        <f>Normalisasi!B211</f>
        <v>Junior Marketing Coordinator</v>
      </c>
      <c r="C211" s="21">
        <f>Normalisasi!H211</f>
        <v>3.1</v>
      </c>
      <c r="D211" s="21">
        <f>Normalisasi!I211</f>
        <v>1</v>
      </c>
      <c r="E211" s="21">
        <f>Normalisasi!J211</f>
        <v>1.72</v>
      </c>
      <c r="F211" s="21">
        <f>Normalisasi!K211</f>
        <v>2.4294011616262767</v>
      </c>
      <c r="G211" s="21">
        <f>Normalisasi!L211</f>
        <v>10</v>
      </c>
      <c r="H211" s="26">
        <f>MAX(C211,0.000000001)^'Asumsi &amp; Bobot'!$E$6*MAX(D211,0.000000001)^'Asumsi &amp; Bobot'!$E$7*MAX(E211,0.000000001)^'Asumsi &amp; Bobot'!$E$8*MAX(F211,0.000000001)^'Asumsi &amp; Bobot'!$E$9*MAX(G211,0.000000001)^'Asumsi &amp; Bobot'!$E$10</f>
        <v>1.556139725983684</v>
      </c>
      <c r="I211" s="26">
        <f t="shared" si="6"/>
        <v>1.6077975025042726E-3</v>
      </c>
      <c r="J211" s="18">
        <f t="shared" si="7"/>
        <v>297</v>
      </c>
    </row>
    <row r="212" spans="1:10" ht="15" customHeight="1" x14ac:dyDescent="0.35">
      <c r="A212" s="11">
        <v>210</v>
      </c>
      <c r="B212" s="8" t="str">
        <f>Normalisasi!B212</f>
        <v>Senior IT Consultant</v>
      </c>
      <c r="C212" s="25">
        <f>Normalisasi!H212</f>
        <v>5.5</v>
      </c>
      <c r="D212" s="25">
        <f>Normalisasi!I212</f>
        <v>5.5</v>
      </c>
      <c r="E212" s="25">
        <f>Normalisasi!J212</f>
        <v>4.24</v>
      </c>
      <c r="F212" s="25">
        <f>Normalisasi!K212</f>
        <v>4.9529341077508509</v>
      </c>
      <c r="G212" s="25">
        <f>Normalisasi!L212</f>
        <v>1</v>
      </c>
      <c r="H212" s="27">
        <f>MAX(C212,0.000000001)^'Asumsi &amp; Bobot'!$E$6*MAX(D212,0.000000001)^'Asumsi &amp; Bobot'!$E$7*MAX(E212,0.000000001)^'Asumsi &amp; Bobot'!$E$8*MAX(F212,0.000000001)^'Asumsi &amp; Bobot'!$E$9*MAX(G212,0.000000001)^'Asumsi &amp; Bobot'!$E$10</f>
        <v>2.8971848171227839</v>
      </c>
      <c r="I212" s="27">
        <f t="shared" si="6"/>
        <v>2.9933600662490571E-3</v>
      </c>
      <c r="J212" s="22">
        <f t="shared" si="7"/>
        <v>126</v>
      </c>
    </row>
    <row r="213" spans="1:10" ht="15" customHeight="1" x14ac:dyDescent="0.35">
      <c r="A213" s="14">
        <v>211</v>
      </c>
      <c r="B213" s="17" t="str">
        <f>Normalisasi!B213</f>
        <v>Senior Product Designer</v>
      </c>
      <c r="C213" s="21">
        <f>Normalisasi!H213</f>
        <v>7.6</v>
      </c>
      <c r="D213" s="21">
        <f>Normalisasi!I213</f>
        <v>10</v>
      </c>
      <c r="E213" s="21">
        <f>Normalisasi!J213</f>
        <v>6.4</v>
      </c>
      <c r="F213" s="21">
        <f>Normalisasi!K213</f>
        <v>6.3949529341077511</v>
      </c>
      <c r="G213" s="21">
        <f>Normalisasi!L213</f>
        <v>10</v>
      </c>
      <c r="H213" s="26">
        <f>MAX(C213,0.000000001)^'Asumsi &amp; Bobot'!$E$6*MAX(D213,0.000000001)^'Asumsi &amp; Bobot'!$E$7*MAX(E213,0.000000001)^'Asumsi &amp; Bobot'!$E$8*MAX(F213,0.000000001)^'Asumsi &amp; Bobot'!$E$9*MAX(G213,0.000000001)^'Asumsi &amp; Bobot'!$E$10</f>
        <v>4.6857350632286741</v>
      </c>
      <c r="I213" s="26">
        <f t="shared" si="6"/>
        <v>4.8412832127227327E-3</v>
      </c>
      <c r="J213" s="18">
        <f t="shared" si="7"/>
        <v>15</v>
      </c>
    </row>
    <row r="214" spans="1:10" ht="15" customHeight="1" x14ac:dyDescent="0.35">
      <c r="A214" s="11">
        <v>212</v>
      </c>
      <c r="B214" s="8" t="str">
        <f>Normalisasi!B214</f>
        <v>Junior Business Development Associate</v>
      </c>
      <c r="C214" s="25">
        <f>Normalisasi!H214</f>
        <v>2.5</v>
      </c>
      <c r="D214" s="25">
        <f>Normalisasi!I214</f>
        <v>1</v>
      </c>
      <c r="E214" s="25">
        <f>Normalisasi!J214</f>
        <v>1.72</v>
      </c>
      <c r="F214" s="25">
        <f>Normalisasi!K214</f>
        <v>2.4294011616262767</v>
      </c>
      <c r="G214" s="25">
        <f>Normalisasi!L214</f>
        <v>1</v>
      </c>
      <c r="H214" s="27">
        <f>MAX(C214,0.000000001)^'Asumsi &amp; Bobot'!$E$6*MAX(D214,0.000000001)^'Asumsi &amp; Bobot'!$E$7*MAX(E214,0.000000001)^'Asumsi &amp; Bobot'!$E$8*MAX(F214,0.000000001)^'Asumsi &amp; Bobot'!$E$9*MAX(G214,0.000000001)^'Asumsi &amp; Bobot'!$E$10</f>
        <v>1.2784907377815737</v>
      </c>
      <c r="I214" s="27">
        <f t="shared" si="6"/>
        <v>1.3209316495539497E-3</v>
      </c>
      <c r="J214" s="22">
        <f t="shared" si="7"/>
        <v>347</v>
      </c>
    </row>
    <row r="215" spans="1:10" ht="15" customHeight="1" x14ac:dyDescent="0.35">
      <c r="A215" s="14">
        <v>213</v>
      </c>
      <c r="B215" s="17" t="str">
        <f>Normalisasi!B215</f>
        <v>Senior Marketing Analyst</v>
      </c>
      <c r="C215" s="21">
        <f>Normalisasi!H215</f>
        <v>4.5999999999999996</v>
      </c>
      <c r="D215" s="21">
        <f>Normalisasi!I215</f>
        <v>1</v>
      </c>
      <c r="E215" s="21">
        <f>Normalisasi!J215</f>
        <v>3.88</v>
      </c>
      <c r="F215" s="21">
        <f>Normalisasi!K215</f>
        <v>4.0516723412777891</v>
      </c>
      <c r="G215" s="21">
        <f>Normalisasi!L215</f>
        <v>10</v>
      </c>
      <c r="H215" s="26">
        <f>MAX(C215,0.000000001)^'Asumsi &amp; Bobot'!$E$6*MAX(D215,0.000000001)^'Asumsi &amp; Bobot'!$E$7*MAX(E215,0.000000001)^'Asumsi &amp; Bobot'!$E$8*MAX(F215,0.000000001)^'Asumsi &amp; Bobot'!$E$9*MAX(G215,0.000000001)^'Asumsi &amp; Bobot'!$E$10</f>
        <v>2.0628971030138525</v>
      </c>
      <c r="I215" s="26">
        <f t="shared" si="6"/>
        <v>2.1313772502352703E-3</v>
      </c>
      <c r="J215" s="18">
        <f t="shared" si="7"/>
        <v>212</v>
      </c>
    </row>
    <row r="216" spans="1:10" ht="15" customHeight="1" x14ac:dyDescent="0.35">
      <c r="A216" s="11">
        <v>214</v>
      </c>
      <c r="B216" s="8" t="str">
        <f>Normalisasi!B216</f>
        <v>Senior Software Engineer</v>
      </c>
      <c r="C216" s="25">
        <f>Normalisasi!H216</f>
        <v>7.3</v>
      </c>
      <c r="D216" s="25">
        <f>Normalisasi!I216</f>
        <v>1</v>
      </c>
      <c r="E216" s="25">
        <f>Normalisasi!J216</f>
        <v>6.04</v>
      </c>
      <c r="F216" s="25">
        <f>Normalisasi!K216</f>
        <v>5.673943520929301</v>
      </c>
      <c r="G216" s="25">
        <f>Normalisasi!L216</f>
        <v>1</v>
      </c>
      <c r="H216" s="27">
        <f>MAX(C216,0.000000001)^'Asumsi &amp; Bobot'!$E$6*MAX(D216,0.000000001)^'Asumsi &amp; Bobot'!$E$7*MAX(E216,0.000000001)^'Asumsi &amp; Bobot'!$E$8*MAX(F216,0.000000001)^'Asumsi &amp; Bobot'!$E$9*MAX(G216,0.000000001)^'Asumsi &amp; Bobot'!$E$10</f>
        <v>2.1502661445399873</v>
      </c>
      <c r="I216" s="27">
        <f t="shared" si="6"/>
        <v>2.2216466035692808E-3</v>
      </c>
      <c r="J216" s="22">
        <f t="shared" si="7"/>
        <v>194</v>
      </c>
    </row>
    <row r="217" spans="1:10" ht="15" customHeight="1" x14ac:dyDescent="0.35">
      <c r="A217" s="14">
        <v>215</v>
      </c>
      <c r="B217" s="17" t="str">
        <f>Normalisasi!B217</f>
        <v>Senior Financial Advisor</v>
      </c>
      <c r="C217" s="21">
        <f>Normalisasi!H217</f>
        <v>4.3</v>
      </c>
      <c r="D217" s="21">
        <f>Normalisasi!I217</f>
        <v>5.5</v>
      </c>
      <c r="E217" s="21">
        <f>Normalisasi!J217</f>
        <v>3.16</v>
      </c>
      <c r="F217" s="21">
        <f>Normalisasi!K217</f>
        <v>4.5924294011616258</v>
      </c>
      <c r="G217" s="21">
        <f>Normalisasi!L217</f>
        <v>10</v>
      </c>
      <c r="H217" s="26">
        <f>MAX(C217,0.000000001)^'Asumsi &amp; Bobot'!$E$6*MAX(D217,0.000000001)^'Asumsi &amp; Bobot'!$E$7*MAX(E217,0.000000001)^'Asumsi &amp; Bobot'!$E$8*MAX(F217,0.000000001)^'Asumsi &amp; Bobot'!$E$9*MAX(G217,0.000000001)^'Asumsi &amp; Bobot'!$E$10</f>
        <v>2.9449670320452155</v>
      </c>
      <c r="I217" s="26">
        <f t="shared" si="6"/>
        <v>3.0427284645577917E-3</v>
      </c>
      <c r="J217" s="18">
        <f t="shared" si="7"/>
        <v>122</v>
      </c>
    </row>
    <row r="218" spans="1:10" ht="15" customHeight="1" x14ac:dyDescent="0.35">
      <c r="A218" s="11">
        <v>216</v>
      </c>
      <c r="B218" s="8" t="str">
        <f>Normalisasi!B218</f>
        <v>Senior Project Coordinator</v>
      </c>
      <c r="C218" s="25">
        <f>Normalisasi!H218</f>
        <v>4.5999999999999996</v>
      </c>
      <c r="D218" s="25">
        <f>Normalisasi!I218</f>
        <v>1</v>
      </c>
      <c r="E218" s="25">
        <f>Normalisasi!J218</f>
        <v>4.24</v>
      </c>
      <c r="F218" s="25">
        <f>Normalisasi!K218</f>
        <v>4.4121770478670133</v>
      </c>
      <c r="G218" s="25">
        <f>Normalisasi!L218</f>
        <v>1</v>
      </c>
      <c r="H218" s="27">
        <f>MAX(C218,0.000000001)^'Asumsi &amp; Bobot'!$E$6*MAX(D218,0.000000001)^'Asumsi &amp; Bobot'!$E$7*MAX(E218,0.000000001)^'Asumsi &amp; Bobot'!$E$8*MAX(F218,0.000000001)^'Asumsi &amp; Bobot'!$E$9*MAX(G218,0.000000001)^'Asumsi &amp; Bobot'!$E$10</f>
        <v>1.8018548139422879</v>
      </c>
      <c r="I218" s="27">
        <f t="shared" si="6"/>
        <v>1.8616693741305376E-3</v>
      </c>
      <c r="J218" s="22">
        <f t="shared" si="7"/>
        <v>245</v>
      </c>
    </row>
    <row r="219" spans="1:10" ht="15" customHeight="1" x14ac:dyDescent="0.35">
      <c r="A219" s="14">
        <v>217</v>
      </c>
      <c r="B219" s="17" t="str">
        <f>Normalisasi!B219</f>
        <v>Director of Operations</v>
      </c>
      <c r="C219" s="21">
        <f>Normalisasi!H219</f>
        <v>9.1</v>
      </c>
      <c r="D219" s="21">
        <f>Normalisasi!I219</f>
        <v>10</v>
      </c>
      <c r="E219" s="21">
        <f>Normalisasi!J219</f>
        <v>8.92</v>
      </c>
      <c r="F219" s="21">
        <f>Normalisasi!K219</f>
        <v>7.4764670538754254</v>
      </c>
      <c r="G219" s="21">
        <f>Normalisasi!L219</f>
        <v>10</v>
      </c>
      <c r="H219" s="26">
        <f>MAX(C219,0.000000001)^'Asumsi &amp; Bobot'!$E$6*MAX(D219,0.000000001)^'Asumsi &amp; Bobot'!$E$7*MAX(E219,0.000000001)^'Asumsi &amp; Bobot'!$E$8*MAX(F219,0.000000001)^'Asumsi &amp; Bobot'!$E$9*MAX(G219,0.000000001)^'Asumsi &amp; Bobot'!$E$10</f>
        <v>5.3141895380369997</v>
      </c>
      <c r="I219" s="26">
        <f t="shared" si="6"/>
        <v>5.4905999277726856E-3</v>
      </c>
      <c r="J219" s="18">
        <f t="shared" si="7"/>
        <v>2</v>
      </c>
    </row>
    <row r="220" spans="1:10" ht="15" customHeight="1" x14ac:dyDescent="0.35">
      <c r="A220" s="11">
        <v>218</v>
      </c>
      <c r="B220" s="8" t="str">
        <f>Normalisasi!B220</f>
        <v>Junior Business Operations Analyst</v>
      </c>
      <c r="C220" s="25">
        <f>Normalisasi!H220</f>
        <v>2.8</v>
      </c>
      <c r="D220" s="25">
        <f>Normalisasi!I220</f>
        <v>1</v>
      </c>
      <c r="E220" s="25">
        <f>Normalisasi!J220</f>
        <v>1.54</v>
      </c>
      <c r="F220" s="25">
        <f>Normalisasi!K220</f>
        <v>2.2491488083316646</v>
      </c>
      <c r="G220" s="25">
        <f>Normalisasi!L220</f>
        <v>1</v>
      </c>
      <c r="H220" s="27">
        <f>MAX(C220,0.000000001)^'Asumsi &amp; Bobot'!$E$6*MAX(D220,0.000000001)^'Asumsi &amp; Bobot'!$E$7*MAX(E220,0.000000001)^'Asumsi &amp; Bobot'!$E$8*MAX(F220,0.000000001)^'Asumsi &amp; Bobot'!$E$9*MAX(G220,0.000000001)^'Asumsi &amp; Bobot'!$E$10</f>
        <v>1.2735111582560956</v>
      </c>
      <c r="I220" s="27">
        <f t="shared" si="6"/>
        <v>1.3157867673875851E-3</v>
      </c>
      <c r="J220" s="22">
        <f t="shared" si="7"/>
        <v>355</v>
      </c>
    </row>
    <row r="221" spans="1:10" ht="15" customHeight="1" x14ac:dyDescent="0.35">
      <c r="A221" s="14">
        <v>219</v>
      </c>
      <c r="B221" s="17" t="str">
        <f>Normalisasi!B221</f>
        <v>Senior Sales Representative</v>
      </c>
      <c r="C221" s="21">
        <f>Normalisasi!H221</f>
        <v>6.1</v>
      </c>
      <c r="D221" s="21">
        <f>Normalisasi!I221</f>
        <v>1</v>
      </c>
      <c r="E221" s="21">
        <f>Normalisasi!J221</f>
        <v>5.32</v>
      </c>
      <c r="F221" s="21">
        <f>Normalisasi!K221</f>
        <v>4.5924294011616258</v>
      </c>
      <c r="G221" s="21">
        <f>Normalisasi!L221</f>
        <v>10</v>
      </c>
      <c r="H221" s="26">
        <f>MAX(C221,0.000000001)^'Asumsi &amp; Bobot'!$E$6*MAX(D221,0.000000001)^'Asumsi &amp; Bobot'!$E$7*MAX(E221,0.000000001)^'Asumsi &amp; Bobot'!$E$8*MAX(F221,0.000000001)^'Asumsi &amp; Bobot'!$E$9*MAX(G221,0.000000001)^'Asumsi &amp; Bobot'!$E$10</f>
        <v>2.3846840446013959</v>
      </c>
      <c r="I221" s="26">
        <f t="shared" si="6"/>
        <v>2.4638462646715516E-3</v>
      </c>
      <c r="J221" s="18">
        <f t="shared" si="7"/>
        <v>162</v>
      </c>
    </row>
    <row r="222" spans="1:10" ht="15" customHeight="1" x14ac:dyDescent="0.35">
      <c r="A222" s="11">
        <v>220</v>
      </c>
      <c r="B222" s="8" t="str">
        <f>Normalisasi!B222</f>
        <v>Director of Marketing</v>
      </c>
      <c r="C222" s="25">
        <f>Normalisasi!H222</f>
        <v>8.5</v>
      </c>
      <c r="D222" s="25">
        <f>Normalisasi!I222</f>
        <v>5.5</v>
      </c>
      <c r="E222" s="25">
        <f>Normalisasi!J222</f>
        <v>7.84</v>
      </c>
      <c r="F222" s="25">
        <f>Normalisasi!K222</f>
        <v>7.1159623472862004</v>
      </c>
      <c r="G222" s="25">
        <f>Normalisasi!L222</f>
        <v>1</v>
      </c>
      <c r="H222" s="27">
        <f>MAX(C222,0.000000001)^'Asumsi &amp; Bobot'!$E$6*MAX(D222,0.000000001)^'Asumsi &amp; Bobot'!$E$7*MAX(E222,0.000000001)^'Asumsi &amp; Bobot'!$E$8*MAX(F222,0.000000001)^'Asumsi &amp; Bobot'!$E$9*MAX(G222,0.000000001)^'Asumsi &amp; Bobot'!$E$10</f>
        <v>3.696477250330382</v>
      </c>
      <c r="I222" s="27">
        <f t="shared" si="6"/>
        <v>3.8191858943695928E-3</v>
      </c>
      <c r="J222" s="22">
        <f t="shared" si="7"/>
        <v>89</v>
      </c>
    </row>
    <row r="223" spans="1:10" ht="15" customHeight="1" x14ac:dyDescent="0.35">
      <c r="A223" s="14">
        <v>221</v>
      </c>
      <c r="B223" s="17" t="str">
        <f>Normalisasi!B223</f>
        <v>Junior Social Media Specialist</v>
      </c>
      <c r="C223" s="21">
        <f>Normalisasi!H223</f>
        <v>3.4</v>
      </c>
      <c r="D223" s="21">
        <f>Normalisasi!I223</f>
        <v>1</v>
      </c>
      <c r="E223" s="21">
        <f>Normalisasi!J223</f>
        <v>2.08</v>
      </c>
      <c r="F223" s="21">
        <f>Normalisasi!K223</f>
        <v>2.6096535149208893</v>
      </c>
      <c r="G223" s="21">
        <f>Normalisasi!L223</f>
        <v>10</v>
      </c>
      <c r="H223" s="26">
        <f>MAX(C223,0.000000001)^'Asumsi &amp; Bobot'!$E$6*MAX(D223,0.000000001)^'Asumsi &amp; Bobot'!$E$7*MAX(E223,0.000000001)^'Asumsi &amp; Bobot'!$E$8*MAX(F223,0.000000001)^'Asumsi &amp; Bobot'!$E$9*MAX(G223,0.000000001)^'Asumsi &amp; Bobot'!$E$10</f>
        <v>1.6727813651347316</v>
      </c>
      <c r="I223" s="26">
        <f t="shared" si="6"/>
        <v>1.7283111896646667E-3</v>
      </c>
      <c r="J223" s="18">
        <f t="shared" si="7"/>
        <v>275</v>
      </c>
    </row>
    <row r="224" spans="1:10" ht="15" customHeight="1" x14ac:dyDescent="0.35">
      <c r="A224" s="11">
        <v>222</v>
      </c>
      <c r="B224" s="8" t="str">
        <f>Normalisasi!B224</f>
        <v>Senior Product Development Manager</v>
      </c>
      <c r="C224" s="25">
        <f>Normalisasi!H224</f>
        <v>4</v>
      </c>
      <c r="D224" s="25">
        <f>Normalisasi!I224</f>
        <v>1</v>
      </c>
      <c r="E224" s="25">
        <f>Normalisasi!J224</f>
        <v>3.52</v>
      </c>
      <c r="F224" s="25">
        <f>Normalisasi!K224</f>
        <v>4.5924294011616258</v>
      </c>
      <c r="G224" s="25">
        <f>Normalisasi!L224</f>
        <v>1</v>
      </c>
      <c r="H224" s="27">
        <f>MAX(C224,0.000000001)^'Asumsi &amp; Bobot'!$E$6*MAX(D224,0.000000001)^'Asumsi &amp; Bobot'!$E$7*MAX(E224,0.000000001)^'Asumsi &amp; Bobot'!$E$8*MAX(F224,0.000000001)^'Asumsi &amp; Bobot'!$E$9*MAX(G224,0.000000001)^'Asumsi &amp; Bobot'!$E$10</f>
        <v>1.6380251073738505</v>
      </c>
      <c r="I224" s="27">
        <f t="shared" si="6"/>
        <v>1.6924011595489486E-3</v>
      </c>
      <c r="J224" s="22">
        <f t="shared" si="7"/>
        <v>285</v>
      </c>
    </row>
    <row r="225" spans="1:10" ht="15" customHeight="1" x14ac:dyDescent="0.35">
      <c r="A225" s="14">
        <v>223</v>
      </c>
      <c r="B225" s="17" t="str">
        <f>Normalisasi!B225</f>
        <v>Senior Human Resources Manager</v>
      </c>
      <c r="C225" s="21">
        <f>Normalisasi!H225</f>
        <v>6.7</v>
      </c>
      <c r="D225" s="21">
        <f>Normalisasi!I225</f>
        <v>5.5</v>
      </c>
      <c r="E225" s="21">
        <f>Normalisasi!J225</f>
        <v>5.68</v>
      </c>
      <c r="F225" s="21">
        <f>Normalisasi!K225</f>
        <v>6.0344482275185261</v>
      </c>
      <c r="G225" s="21">
        <f>Normalisasi!L225</f>
        <v>10</v>
      </c>
      <c r="H225" s="26">
        <f>MAX(C225,0.000000001)^'Asumsi &amp; Bobot'!$E$6*MAX(D225,0.000000001)^'Asumsi &amp; Bobot'!$E$7*MAX(E225,0.000000001)^'Asumsi &amp; Bobot'!$E$8*MAX(F225,0.000000001)^'Asumsi &amp; Bobot'!$E$9*MAX(G225,0.000000001)^'Asumsi &amp; Bobot'!$E$10</f>
        <v>3.7729071216609213</v>
      </c>
      <c r="I225" s="26">
        <f t="shared" si="6"/>
        <v>3.898152939674143E-3</v>
      </c>
      <c r="J225" s="18">
        <f t="shared" si="7"/>
        <v>81</v>
      </c>
    </row>
    <row r="226" spans="1:10" ht="15" customHeight="1" x14ac:dyDescent="0.35">
      <c r="A226" s="11">
        <v>224</v>
      </c>
      <c r="B226" s="8" t="str">
        <f>Normalisasi!B226</f>
        <v>Junior Financial Analyst</v>
      </c>
      <c r="C226" s="25">
        <f>Normalisasi!H226</f>
        <v>2.5</v>
      </c>
      <c r="D226" s="25">
        <f>Normalisasi!I226</f>
        <v>1</v>
      </c>
      <c r="E226" s="25">
        <f>Normalisasi!J226</f>
        <v>1.72</v>
      </c>
      <c r="F226" s="25">
        <f>Normalisasi!K226</f>
        <v>2.4294011616262767</v>
      </c>
      <c r="G226" s="25">
        <f>Normalisasi!L226</f>
        <v>1</v>
      </c>
      <c r="H226" s="27">
        <f>MAX(C226,0.000000001)^'Asumsi &amp; Bobot'!$E$6*MAX(D226,0.000000001)^'Asumsi &amp; Bobot'!$E$7*MAX(E226,0.000000001)^'Asumsi &amp; Bobot'!$E$8*MAX(F226,0.000000001)^'Asumsi &amp; Bobot'!$E$9*MAX(G226,0.000000001)^'Asumsi &amp; Bobot'!$E$10</f>
        <v>1.2784907377815737</v>
      </c>
      <c r="I226" s="27">
        <f t="shared" si="6"/>
        <v>1.3209316495539497E-3</v>
      </c>
      <c r="J226" s="22">
        <f t="shared" si="7"/>
        <v>347</v>
      </c>
    </row>
    <row r="227" spans="1:10" ht="15" customHeight="1" x14ac:dyDescent="0.35">
      <c r="A227" s="14">
        <v>225</v>
      </c>
      <c r="B227" s="17" t="str">
        <f>Normalisasi!B227</f>
        <v>Senior Marketing Manager</v>
      </c>
      <c r="C227" s="21">
        <f>Normalisasi!H227</f>
        <v>6.1</v>
      </c>
      <c r="D227" s="21">
        <f>Normalisasi!I227</f>
        <v>1</v>
      </c>
      <c r="E227" s="21">
        <f>Normalisasi!J227</f>
        <v>4.96</v>
      </c>
      <c r="F227" s="21">
        <f>Normalisasi!K227</f>
        <v>4.7726817544562383</v>
      </c>
      <c r="G227" s="21">
        <f>Normalisasi!L227</f>
        <v>10</v>
      </c>
      <c r="H227" s="26">
        <f>MAX(C227,0.000000001)^'Asumsi &amp; Bobot'!$E$6*MAX(D227,0.000000001)^'Asumsi &amp; Bobot'!$E$7*MAX(E227,0.000000001)^'Asumsi &amp; Bobot'!$E$8*MAX(F227,0.000000001)^'Asumsi &amp; Bobot'!$E$9*MAX(G227,0.000000001)^'Asumsi &amp; Bobot'!$E$10</f>
        <v>2.3177052027225589</v>
      </c>
      <c r="I227" s="26">
        <f t="shared" si="6"/>
        <v>2.3946439861773439E-3</v>
      </c>
      <c r="J227" s="18">
        <f t="shared" si="7"/>
        <v>173</v>
      </c>
    </row>
    <row r="228" spans="1:10" ht="15" customHeight="1" x14ac:dyDescent="0.35">
      <c r="A228" s="11">
        <v>226</v>
      </c>
      <c r="B228" s="8" t="str">
        <f>Normalisasi!B228</f>
        <v>Senior Data Scientist</v>
      </c>
      <c r="C228" s="25">
        <f>Normalisasi!H228</f>
        <v>7.9</v>
      </c>
      <c r="D228" s="25">
        <f>Normalisasi!I228</f>
        <v>10</v>
      </c>
      <c r="E228" s="25">
        <f>Normalisasi!J228</f>
        <v>7.48</v>
      </c>
      <c r="F228" s="25">
        <f>Normalisasi!K228</f>
        <v>6.7554576406969762</v>
      </c>
      <c r="G228" s="25">
        <f>Normalisasi!L228</f>
        <v>1</v>
      </c>
      <c r="H228" s="27">
        <f>MAX(C228,0.000000001)^'Asumsi &amp; Bobot'!$E$6*MAX(D228,0.000000001)^'Asumsi &amp; Bobot'!$E$7*MAX(E228,0.000000001)^'Asumsi &amp; Bobot'!$E$8*MAX(F228,0.000000001)^'Asumsi &amp; Bobot'!$E$9*MAX(G228,0.000000001)^'Asumsi &amp; Bobot'!$E$10</f>
        <v>4.2351810511523436</v>
      </c>
      <c r="I228" s="27">
        <f t="shared" si="6"/>
        <v>4.3757725627059487E-3</v>
      </c>
      <c r="J228" s="22">
        <f t="shared" si="7"/>
        <v>51</v>
      </c>
    </row>
    <row r="229" spans="1:10" ht="15" customHeight="1" x14ac:dyDescent="0.35">
      <c r="A229" s="14">
        <v>227</v>
      </c>
      <c r="B229" s="17" t="str">
        <f>Normalisasi!B229</f>
        <v>Junior Operations Manager</v>
      </c>
      <c r="C229" s="21">
        <f>Normalisasi!H229</f>
        <v>4</v>
      </c>
      <c r="D229" s="21">
        <f>Normalisasi!I229</f>
        <v>1</v>
      </c>
      <c r="E229" s="21">
        <f>Normalisasi!J229</f>
        <v>2.8</v>
      </c>
      <c r="F229" s="21">
        <f>Normalisasi!K229</f>
        <v>3.5109152813939515</v>
      </c>
      <c r="G229" s="21">
        <f>Normalisasi!L229</f>
        <v>10</v>
      </c>
      <c r="H229" s="26">
        <f>MAX(C229,0.000000001)^'Asumsi &amp; Bobot'!$E$6*MAX(D229,0.000000001)^'Asumsi &amp; Bobot'!$E$7*MAX(E229,0.000000001)^'Asumsi &amp; Bobot'!$E$8*MAX(F229,0.000000001)^'Asumsi &amp; Bobot'!$E$9*MAX(G229,0.000000001)^'Asumsi &amp; Bobot'!$E$10</f>
        <v>1.8340392626820041</v>
      </c>
      <c r="I229" s="26">
        <f t="shared" si="6"/>
        <v>1.8949222211847969E-3</v>
      </c>
      <c r="J229" s="18">
        <f t="shared" si="7"/>
        <v>238</v>
      </c>
    </row>
    <row r="230" spans="1:10" ht="15" customHeight="1" x14ac:dyDescent="0.35">
      <c r="A230" s="11">
        <v>228</v>
      </c>
      <c r="B230" s="8" t="str">
        <f>Normalisasi!B230</f>
        <v>Senior Software Architect</v>
      </c>
      <c r="C230" s="25">
        <f>Normalisasi!H230</f>
        <v>5.2</v>
      </c>
      <c r="D230" s="25">
        <f>Normalisasi!I230</f>
        <v>5.5</v>
      </c>
      <c r="E230" s="25">
        <f>Normalisasi!J230</f>
        <v>4.24</v>
      </c>
      <c r="F230" s="25">
        <f>Normalisasi!K230</f>
        <v>5.3134388143400759</v>
      </c>
      <c r="G230" s="25">
        <f>Normalisasi!L230</f>
        <v>1</v>
      </c>
      <c r="H230" s="27">
        <f>MAX(C230,0.000000001)^'Asumsi &amp; Bobot'!$E$6*MAX(D230,0.000000001)^'Asumsi &amp; Bobot'!$E$7*MAX(E230,0.000000001)^'Asumsi &amp; Bobot'!$E$8*MAX(F230,0.000000001)^'Asumsi &amp; Bobot'!$E$9*MAX(G230,0.000000001)^'Asumsi &amp; Bobot'!$E$10</f>
        <v>2.8381537173576987</v>
      </c>
      <c r="I230" s="27">
        <f t="shared" si="6"/>
        <v>2.9323693639441025E-3</v>
      </c>
      <c r="J230" s="22">
        <f t="shared" si="7"/>
        <v>132</v>
      </c>
    </row>
    <row r="231" spans="1:10" ht="15" customHeight="1" x14ac:dyDescent="0.35">
      <c r="A231" s="14">
        <v>229</v>
      </c>
      <c r="B231" s="17" t="str">
        <f>Normalisasi!B231</f>
        <v>Director of Human Resources</v>
      </c>
      <c r="C231" s="21">
        <f>Normalisasi!H231</f>
        <v>9.4</v>
      </c>
      <c r="D231" s="21">
        <f>Normalisasi!I231</f>
        <v>5.5</v>
      </c>
      <c r="E231" s="21">
        <f>Normalisasi!J231</f>
        <v>8.5599999999999987</v>
      </c>
      <c r="F231" s="21">
        <f>Normalisasi!K231</f>
        <v>7.8369717604646505</v>
      </c>
      <c r="G231" s="21">
        <f>Normalisasi!L231</f>
        <v>10</v>
      </c>
      <c r="H231" s="26">
        <f>MAX(C231,0.000000001)^'Asumsi &amp; Bobot'!$E$6*MAX(D231,0.000000001)^'Asumsi &amp; Bobot'!$E$7*MAX(E231,0.000000001)^'Asumsi &amp; Bobot'!$E$8*MAX(F231,0.000000001)^'Asumsi &amp; Bobot'!$E$9*MAX(G231,0.000000001)^'Asumsi &amp; Bobot'!$E$10</f>
        <v>4.4702015543866507</v>
      </c>
      <c r="I231" s="26">
        <f t="shared" si="6"/>
        <v>4.6185948310588478E-3</v>
      </c>
      <c r="J231" s="18">
        <f t="shared" si="7"/>
        <v>32</v>
      </c>
    </row>
    <row r="232" spans="1:10" ht="15" customHeight="1" x14ac:dyDescent="0.35">
      <c r="A232" s="11">
        <v>230</v>
      </c>
      <c r="B232" s="8" t="str">
        <f>Normalisasi!B232</f>
        <v>Junior Marketing Specialist</v>
      </c>
      <c r="C232" s="25">
        <f>Normalisasi!H232</f>
        <v>3.1</v>
      </c>
      <c r="D232" s="25">
        <f>Normalisasi!I232</f>
        <v>1</v>
      </c>
      <c r="E232" s="25">
        <f>Normalisasi!J232</f>
        <v>2.08</v>
      </c>
      <c r="F232" s="25">
        <f>Normalisasi!K232</f>
        <v>2.6096535149208893</v>
      </c>
      <c r="G232" s="25">
        <f>Normalisasi!L232</f>
        <v>1</v>
      </c>
      <c r="H232" s="27">
        <f>MAX(C232,0.000000001)^'Asumsi &amp; Bobot'!$E$6*MAX(D232,0.000000001)^'Asumsi &amp; Bobot'!$E$7*MAX(E232,0.000000001)^'Asumsi &amp; Bobot'!$E$8*MAX(F232,0.000000001)^'Asumsi &amp; Bobot'!$E$9*MAX(G232,0.000000001)^'Asumsi &amp; Bobot'!$E$10</f>
        <v>1.4084747654262948</v>
      </c>
      <c r="I232" s="27">
        <f t="shared" si="6"/>
        <v>1.4552306405269623E-3</v>
      </c>
      <c r="J232" s="22">
        <f t="shared" si="7"/>
        <v>336</v>
      </c>
    </row>
    <row r="233" spans="1:10" ht="15" customHeight="1" x14ac:dyDescent="0.35">
      <c r="A233" s="14">
        <v>231</v>
      </c>
      <c r="B233" s="17" t="str">
        <f>Normalisasi!B233</f>
        <v>Senior Project Manager</v>
      </c>
      <c r="C233" s="21">
        <f>Normalisasi!H233</f>
        <v>7</v>
      </c>
      <c r="D233" s="21">
        <f>Normalisasi!I233</f>
        <v>1</v>
      </c>
      <c r="E233" s="21">
        <f>Normalisasi!J233</f>
        <v>6.4</v>
      </c>
      <c r="F233" s="21">
        <f>Normalisasi!K233</f>
        <v>5.3134388143400759</v>
      </c>
      <c r="G233" s="21">
        <f>Normalisasi!L233</f>
        <v>1</v>
      </c>
      <c r="H233" s="26">
        <f>MAX(C233,0.000000001)^'Asumsi &amp; Bobot'!$E$6*MAX(D233,0.000000001)^'Asumsi &amp; Bobot'!$E$7*MAX(E233,0.000000001)^'Asumsi &amp; Bobot'!$E$8*MAX(F233,0.000000001)^'Asumsi &amp; Bobot'!$E$9*MAX(G233,0.000000001)^'Asumsi &amp; Bobot'!$E$10</f>
        <v>2.192953930553283</v>
      </c>
      <c r="I233" s="26">
        <f t="shared" si="6"/>
        <v>2.2657514577758839E-3</v>
      </c>
      <c r="J233" s="18">
        <f t="shared" si="7"/>
        <v>187</v>
      </c>
    </row>
    <row r="234" spans="1:10" ht="15" customHeight="1" x14ac:dyDescent="0.35">
      <c r="A234" s="11">
        <v>232</v>
      </c>
      <c r="B234" s="8" t="str">
        <f>Normalisasi!B234</f>
        <v>Junior Research Scientist</v>
      </c>
      <c r="C234" s="25">
        <f>Normalisasi!H234</f>
        <v>2.2000000000000002</v>
      </c>
      <c r="D234" s="25">
        <f>Normalisasi!I234</f>
        <v>5.5</v>
      </c>
      <c r="E234" s="25">
        <f>Normalisasi!J234</f>
        <v>1.54</v>
      </c>
      <c r="F234" s="25">
        <f>Normalisasi!K234</f>
        <v>2.7899058682155018</v>
      </c>
      <c r="G234" s="25">
        <f>Normalisasi!L234</f>
        <v>10</v>
      </c>
      <c r="H234" s="27">
        <f>MAX(C234,0.000000001)^'Asumsi &amp; Bobot'!$E$6*MAX(D234,0.000000001)^'Asumsi &amp; Bobot'!$E$7*MAX(E234,0.000000001)^'Asumsi &amp; Bobot'!$E$8*MAX(F234,0.000000001)^'Asumsi &amp; Bobot'!$E$9*MAX(G234,0.000000001)^'Asumsi &amp; Bobot'!$E$10</f>
        <v>2.1660886177736685</v>
      </c>
      <c r="I234" s="27">
        <f t="shared" si="6"/>
        <v>2.2379943212734042E-3</v>
      </c>
      <c r="J234" s="22">
        <f t="shared" si="7"/>
        <v>192</v>
      </c>
    </row>
    <row r="235" spans="1:10" ht="15" customHeight="1" x14ac:dyDescent="0.35">
      <c r="A235" s="14">
        <v>233</v>
      </c>
      <c r="B235" s="17" t="str">
        <f>Normalisasi!B235</f>
        <v>Senior Operations Analyst</v>
      </c>
      <c r="C235" s="21">
        <f>Normalisasi!H235</f>
        <v>4.5999999999999996</v>
      </c>
      <c r="D235" s="21">
        <f>Normalisasi!I235</f>
        <v>1</v>
      </c>
      <c r="E235" s="21">
        <f>Normalisasi!J235</f>
        <v>3.88</v>
      </c>
      <c r="F235" s="21">
        <f>Normalisasi!K235</f>
        <v>4.0516723412777891</v>
      </c>
      <c r="G235" s="21">
        <f>Normalisasi!L235</f>
        <v>1</v>
      </c>
      <c r="H235" s="26">
        <f>MAX(C235,0.000000001)^'Asumsi &amp; Bobot'!$E$6*MAX(D235,0.000000001)^'Asumsi &amp; Bobot'!$E$7*MAX(E235,0.000000001)^'Asumsi &amp; Bobot'!$E$8*MAX(F235,0.000000001)^'Asumsi &amp; Bobot'!$E$9*MAX(G235,0.000000001)^'Asumsi &amp; Bobot'!$E$10</f>
        <v>1.7693383844700186</v>
      </c>
      <c r="I235" s="26">
        <f t="shared" si="6"/>
        <v>1.828073525876729E-3</v>
      </c>
      <c r="J235" s="18">
        <f t="shared" si="7"/>
        <v>257</v>
      </c>
    </row>
    <row r="236" spans="1:10" ht="15" customHeight="1" x14ac:dyDescent="0.35">
      <c r="A236" s="11">
        <v>234</v>
      </c>
      <c r="B236" s="8" t="str">
        <f>Normalisasi!B236</f>
        <v>Senior Marketing Manager</v>
      </c>
      <c r="C236" s="25">
        <f>Normalisasi!H236</f>
        <v>6.7</v>
      </c>
      <c r="D236" s="25">
        <f>Normalisasi!I236</f>
        <v>10</v>
      </c>
      <c r="E236" s="25">
        <f>Normalisasi!J236</f>
        <v>5.68</v>
      </c>
      <c r="F236" s="25">
        <f>Normalisasi!K236</f>
        <v>6.0344482275185261</v>
      </c>
      <c r="G236" s="25">
        <f>Normalisasi!L236</f>
        <v>10</v>
      </c>
      <c r="H236" s="27">
        <f>MAX(C236,0.000000001)^'Asumsi &amp; Bobot'!$E$6*MAX(D236,0.000000001)^'Asumsi &amp; Bobot'!$E$7*MAX(E236,0.000000001)^'Asumsi &amp; Bobot'!$E$8*MAX(F236,0.000000001)^'Asumsi &amp; Bobot'!$E$9*MAX(G236,0.000000001)^'Asumsi &amp; Bobot'!$E$10</f>
        <v>4.4249944503692049</v>
      </c>
      <c r="I236" s="27">
        <f t="shared" si="6"/>
        <v>4.5718870273050716E-3</v>
      </c>
      <c r="J236" s="22">
        <f t="shared" si="7"/>
        <v>38</v>
      </c>
    </row>
    <row r="237" spans="1:10" ht="15" customHeight="1" x14ac:dyDescent="0.35">
      <c r="A237" s="14">
        <v>235</v>
      </c>
      <c r="B237" s="17" t="str">
        <f>Normalisasi!B237</f>
        <v>Junior Sales Representative</v>
      </c>
      <c r="C237" s="21">
        <f>Normalisasi!H237</f>
        <v>3.7</v>
      </c>
      <c r="D237" s="21">
        <f>Normalisasi!I237</f>
        <v>1</v>
      </c>
      <c r="E237" s="21">
        <f>Normalisasi!J237</f>
        <v>2.08</v>
      </c>
      <c r="F237" s="21">
        <f>Normalisasi!K237</f>
        <v>2.6096535149208893</v>
      </c>
      <c r="G237" s="21">
        <f>Normalisasi!L237</f>
        <v>1</v>
      </c>
      <c r="H237" s="26">
        <f>MAX(C237,0.000000001)^'Asumsi &amp; Bobot'!$E$6*MAX(D237,0.000000001)^'Asumsi &amp; Bobot'!$E$7*MAX(E237,0.000000001)^'Asumsi &amp; Bobot'!$E$8*MAX(F237,0.000000001)^'Asumsi &amp; Bobot'!$E$9*MAX(G237,0.000000001)^'Asumsi &amp; Bobot'!$E$10</f>
        <v>1.459207578444061</v>
      </c>
      <c r="I237" s="26">
        <f t="shared" si="6"/>
        <v>1.5076475852929081E-3</v>
      </c>
      <c r="J237" s="18">
        <f t="shared" si="7"/>
        <v>327</v>
      </c>
    </row>
    <row r="238" spans="1:10" ht="15" customHeight="1" x14ac:dyDescent="0.35">
      <c r="A238" s="11">
        <v>236</v>
      </c>
      <c r="B238" s="8" t="str">
        <f>Normalisasi!B238</f>
        <v>Senior Financial Analyst</v>
      </c>
      <c r="C238" s="25">
        <f>Normalisasi!H238</f>
        <v>5.2</v>
      </c>
      <c r="D238" s="25">
        <f>Normalisasi!I238</f>
        <v>1</v>
      </c>
      <c r="E238" s="25">
        <f>Normalisasi!J238</f>
        <v>4.24</v>
      </c>
      <c r="F238" s="25">
        <f>Normalisasi!K238</f>
        <v>4.5924294011616258</v>
      </c>
      <c r="G238" s="25">
        <f>Normalisasi!L238</f>
        <v>10</v>
      </c>
      <c r="H238" s="27">
        <f>MAX(C238,0.000000001)^'Asumsi &amp; Bobot'!$E$6*MAX(D238,0.000000001)^'Asumsi &amp; Bobot'!$E$7*MAX(E238,0.000000001)^'Asumsi &amp; Bobot'!$E$8*MAX(F238,0.000000001)^'Asumsi &amp; Bobot'!$E$9*MAX(G238,0.000000001)^'Asumsi &amp; Bobot'!$E$10</f>
        <v>2.1414944626839976</v>
      </c>
      <c r="I238" s="27">
        <f t="shared" si="6"/>
        <v>2.2125837360482377E-3</v>
      </c>
      <c r="J238" s="22">
        <f t="shared" si="7"/>
        <v>196</v>
      </c>
    </row>
    <row r="239" spans="1:10" ht="15" customHeight="1" x14ac:dyDescent="0.35">
      <c r="A239" s="14">
        <v>237</v>
      </c>
      <c r="B239" s="17" t="str">
        <f>Normalisasi!B239</f>
        <v>Senior Software Developer</v>
      </c>
      <c r="C239" s="21">
        <f>Normalisasi!H239</f>
        <v>7.6</v>
      </c>
      <c r="D239" s="21">
        <f>Normalisasi!I239</f>
        <v>5.5</v>
      </c>
      <c r="E239" s="21">
        <f>Normalisasi!J239</f>
        <v>6.76</v>
      </c>
      <c r="F239" s="21">
        <f>Normalisasi!K239</f>
        <v>6.0344482275185261</v>
      </c>
      <c r="G239" s="21">
        <f>Normalisasi!L239</f>
        <v>1</v>
      </c>
      <c r="H239" s="26">
        <f>MAX(C239,0.000000001)^'Asumsi &amp; Bobot'!$E$6*MAX(D239,0.000000001)^'Asumsi &amp; Bobot'!$E$7*MAX(E239,0.000000001)^'Asumsi &amp; Bobot'!$E$8*MAX(F239,0.000000001)^'Asumsi &amp; Bobot'!$E$9*MAX(G239,0.000000001)^'Asumsi &amp; Bobot'!$E$10</f>
        <v>3.5168727843170111</v>
      </c>
      <c r="I239" s="26">
        <f t="shared" si="6"/>
        <v>3.6336192597845318E-3</v>
      </c>
      <c r="J239" s="18">
        <f t="shared" si="7"/>
        <v>106</v>
      </c>
    </row>
    <row r="240" spans="1:10" ht="15" customHeight="1" x14ac:dyDescent="0.35">
      <c r="A240" s="11">
        <v>238</v>
      </c>
      <c r="B240" s="8" t="str">
        <f>Normalisasi!B240</f>
        <v>Junior Operations Analyst</v>
      </c>
      <c r="C240" s="25">
        <f>Normalisasi!H240</f>
        <v>4</v>
      </c>
      <c r="D240" s="25">
        <f>Normalisasi!I240</f>
        <v>1</v>
      </c>
      <c r="E240" s="25">
        <f>Normalisasi!J240</f>
        <v>2.8</v>
      </c>
      <c r="F240" s="25">
        <f>Normalisasi!K240</f>
        <v>3.5109152813939515</v>
      </c>
      <c r="G240" s="25">
        <f>Normalisasi!L240</f>
        <v>10</v>
      </c>
      <c r="H240" s="27">
        <f>MAX(C240,0.000000001)^'Asumsi &amp; Bobot'!$E$6*MAX(D240,0.000000001)^'Asumsi &amp; Bobot'!$E$7*MAX(E240,0.000000001)^'Asumsi &amp; Bobot'!$E$8*MAX(F240,0.000000001)^'Asumsi &amp; Bobot'!$E$9*MAX(G240,0.000000001)^'Asumsi &amp; Bobot'!$E$10</f>
        <v>1.8340392626820041</v>
      </c>
      <c r="I240" s="27">
        <f t="shared" si="6"/>
        <v>1.8949222211847969E-3</v>
      </c>
      <c r="J240" s="22">
        <f t="shared" si="7"/>
        <v>238</v>
      </c>
    </row>
    <row r="241" spans="1:10" ht="15" customHeight="1" x14ac:dyDescent="0.35">
      <c r="A241" s="14">
        <v>239</v>
      </c>
      <c r="B241" s="17" t="str">
        <f>Normalisasi!B241</f>
        <v>Senior Marketing Specialist</v>
      </c>
      <c r="C241" s="21">
        <f>Normalisasi!H241</f>
        <v>5.8</v>
      </c>
      <c r="D241" s="21">
        <f>Normalisasi!I241</f>
        <v>1</v>
      </c>
      <c r="E241" s="21">
        <f>Normalisasi!J241</f>
        <v>4.5999999999999996</v>
      </c>
      <c r="F241" s="21">
        <f>Normalisasi!K241</f>
        <v>5.3134388143400759</v>
      </c>
      <c r="G241" s="21">
        <f>Normalisasi!L241</f>
        <v>1</v>
      </c>
      <c r="H241" s="26">
        <f>MAX(C241,0.000000001)^'Asumsi &amp; Bobot'!$E$6*MAX(D241,0.000000001)^'Asumsi &amp; Bobot'!$E$7*MAX(E241,0.000000001)^'Asumsi &amp; Bobot'!$E$8*MAX(F241,0.000000001)^'Asumsi &amp; Bobot'!$E$9*MAX(G241,0.000000001)^'Asumsi &amp; Bobot'!$E$10</f>
        <v>1.8918561803469789</v>
      </c>
      <c r="I241" s="26">
        <f t="shared" si="6"/>
        <v>1.9546584352741069E-3</v>
      </c>
      <c r="J241" s="18">
        <f t="shared" si="7"/>
        <v>227</v>
      </c>
    </row>
    <row r="242" spans="1:10" ht="15" customHeight="1" x14ac:dyDescent="0.35">
      <c r="A242" s="11">
        <v>240</v>
      </c>
      <c r="B242" s="8" t="str">
        <f>Normalisasi!B242</f>
        <v>Senior HR Manager</v>
      </c>
      <c r="C242" s="25">
        <f>Normalisasi!H242</f>
        <v>7.3</v>
      </c>
      <c r="D242" s="25">
        <f>Normalisasi!I242</f>
        <v>10</v>
      </c>
      <c r="E242" s="25">
        <f>Normalisasi!J242</f>
        <v>7.48</v>
      </c>
      <c r="F242" s="25">
        <f>Normalisasi!K242</f>
        <v>6.7554576406969762</v>
      </c>
      <c r="G242" s="25">
        <f>Normalisasi!L242</f>
        <v>10</v>
      </c>
      <c r="H242" s="27">
        <f>MAX(C242,0.000000001)^'Asumsi &amp; Bobot'!$E$6*MAX(D242,0.000000001)^'Asumsi &amp; Bobot'!$E$7*MAX(E242,0.000000001)^'Asumsi &amp; Bobot'!$E$8*MAX(F242,0.000000001)^'Asumsi &amp; Bobot'!$E$9*MAX(G242,0.000000001)^'Asumsi &amp; Bobot'!$E$10</f>
        <v>4.8604647890681267</v>
      </c>
      <c r="I242" s="27">
        <f t="shared" si="6"/>
        <v>5.0218132847510292E-3</v>
      </c>
      <c r="J242" s="22">
        <f t="shared" si="7"/>
        <v>6</v>
      </c>
    </row>
    <row r="243" spans="1:10" ht="15" customHeight="1" x14ac:dyDescent="0.35">
      <c r="A243" s="14">
        <v>241</v>
      </c>
      <c r="B243" s="17" t="str">
        <f>Normalisasi!B243</f>
        <v>Junior Business Analyst</v>
      </c>
      <c r="C243" s="21">
        <f>Normalisasi!H243</f>
        <v>2.8</v>
      </c>
      <c r="D243" s="21">
        <f>Normalisasi!I243</f>
        <v>1</v>
      </c>
      <c r="E243" s="21">
        <f>Normalisasi!J243</f>
        <v>1.54</v>
      </c>
      <c r="F243" s="21">
        <f>Normalisasi!K243</f>
        <v>2.4294011616262767</v>
      </c>
      <c r="G243" s="21">
        <f>Normalisasi!L243</f>
        <v>1</v>
      </c>
      <c r="H243" s="26">
        <f>MAX(C243,0.000000001)^'Asumsi &amp; Bobot'!$E$6*MAX(D243,0.000000001)^'Asumsi &amp; Bobot'!$E$7*MAX(E243,0.000000001)^'Asumsi &amp; Bobot'!$E$8*MAX(F243,0.000000001)^'Asumsi &amp; Bobot'!$E$9*MAX(G243,0.000000001)^'Asumsi &amp; Bobot'!$E$10</f>
        <v>1.2604877090175863</v>
      </c>
      <c r="I243" s="26">
        <f t="shared" si="6"/>
        <v>1.3023309903708842E-3</v>
      </c>
      <c r="J243" s="18">
        <f t="shared" si="7"/>
        <v>357</v>
      </c>
    </row>
    <row r="244" spans="1:10" ht="15" customHeight="1" x14ac:dyDescent="0.35">
      <c r="A244" s="11">
        <v>242</v>
      </c>
      <c r="B244" s="8" t="str">
        <f>Normalisasi!B244</f>
        <v>Senior Product Manager</v>
      </c>
      <c r="C244" s="25">
        <f>Normalisasi!H244</f>
        <v>5.5</v>
      </c>
      <c r="D244" s="25">
        <f>Normalisasi!I244</f>
        <v>1</v>
      </c>
      <c r="E244" s="25">
        <f>Normalisasi!J244</f>
        <v>4.5999999999999996</v>
      </c>
      <c r="F244" s="25">
        <f>Normalisasi!K244</f>
        <v>5.3134388143400759</v>
      </c>
      <c r="G244" s="25">
        <f>Normalisasi!L244</f>
        <v>10</v>
      </c>
      <c r="H244" s="27">
        <f>MAX(C244,0.000000001)^'Asumsi &amp; Bobot'!$E$6*MAX(D244,0.000000001)^'Asumsi &amp; Bobot'!$E$7*MAX(E244,0.000000001)^'Asumsi &amp; Bobot'!$E$8*MAX(F244,0.000000001)^'Asumsi &amp; Bobot'!$E$9*MAX(G244,0.000000001)^'Asumsi &amp; Bobot'!$E$10</f>
        <v>2.1824370405770459</v>
      </c>
      <c r="I244" s="27">
        <f t="shared" si="6"/>
        <v>2.2548854480239529E-3</v>
      </c>
      <c r="J244" s="22">
        <f t="shared" si="7"/>
        <v>190</v>
      </c>
    </row>
    <row r="245" spans="1:10" ht="15" customHeight="1" x14ac:dyDescent="0.35">
      <c r="A245" s="14">
        <v>243</v>
      </c>
      <c r="B245" s="17" t="str">
        <f>Normalisasi!B245</f>
        <v>Senior Data Analyst</v>
      </c>
      <c r="C245" s="21">
        <f>Normalisasi!H245</f>
        <v>7.9</v>
      </c>
      <c r="D245" s="21">
        <f>Normalisasi!I245</f>
        <v>10</v>
      </c>
      <c r="E245" s="21">
        <f>Normalisasi!J245</f>
        <v>7.84</v>
      </c>
      <c r="F245" s="21">
        <f>Normalisasi!K245</f>
        <v>6.3949529341077511</v>
      </c>
      <c r="G245" s="21">
        <f>Normalisasi!L245</f>
        <v>1</v>
      </c>
      <c r="H245" s="26">
        <f>MAX(C245,0.000000001)^'Asumsi &amp; Bobot'!$E$6*MAX(D245,0.000000001)^'Asumsi &amp; Bobot'!$E$7*MAX(E245,0.000000001)^'Asumsi &amp; Bobot'!$E$8*MAX(F245,0.000000001)^'Asumsi &amp; Bobot'!$E$9*MAX(G245,0.000000001)^'Asumsi &amp; Bobot'!$E$10</f>
        <v>4.3336362843350953</v>
      </c>
      <c r="I245" s="26">
        <f t="shared" si="6"/>
        <v>4.4774961260701839E-3</v>
      </c>
      <c r="J245" s="18">
        <f t="shared" si="7"/>
        <v>47</v>
      </c>
    </row>
    <row r="246" spans="1:10" ht="15" customHeight="1" x14ac:dyDescent="0.35">
      <c r="A246" s="11">
        <v>244</v>
      </c>
      <c r="B246" s="8" t="str">
        <f>Normalisasi!B246</f>
        <v>Junior Marketing Analyst</v>
      </c>
      <c r="C246" s="25">
        <f>Normalisasi!H246</f>
        <v>4.3</v>
      </c>
      <c r="D246" s="25">
        <f>Normalisasi!I246</f>
        <v>1</v>
      </c>
      <c r="E246" s="25">
        <f>Normalisasi!J246</f>
        <v>3.16</v>
      </c>
      <c r="F246" s="25">
        <f>Normalisasi!K246</f>
        <v>3.5109152813939515</v>
      </c>
      <c r="G246" s="25">
        <f>Normalisasi!L246</f>
        <v>10</v>
      </c>
      <c r="H246" s="27">
        <f>MAX(C246,0.000000001)^'Asumsi &amp; Bobot'!$E$6*MAX(D246,0.000000001)^'Asumsi &amp; Bobot'!$E$7*MAX(E246,0.000000001)^'Asumsi &amp; Bobot'!$E$8*MAX(F246,0.000000001)^'Asumsi &amp; Bobot'!$E$9*MAX(G246,0.000000001)^'Asumsi &amp; Bobot'!$E$10</f>
        <v>1.9373139482997164</v>
      </c>
      <c r="I246" s="27">
        <f t="shared" si="6"/>
        <v>2.0016252240292937E-3</v>
      </c>
      <c r="J246" s="22">
        <f t="shared" si="7"/>
        <v>225</v>
      </c>
    </row>
    <row r="247" spans="1:10" ht="15" customHeight="1" x14ac:dyDescent="0.35">
      <c r="A247" s="14">
        <v>245</v>
      </c>
      <c r="B247" s="17" t="str">
        <f>Normalisasi!B247</f>
        <v>Senior Operations Manager</v>
      </c>
      <c r="C247" s="21">
        <f>Normalisasi!H247</f>
        <v>4.9000000000000004</v>
      </c>
      <c r="D247" s="21">
        <f>Normalisasi!I247</f>
        <v>1</v>
      </c>
      <c r="E247" s="21">
        <f>Normalisasi!J247</f>
        <v>3.88</v>
      </c>
      <c r="F247" s="21">
        <f>Normalisasi!K247</f>
        <v>4.4121770478670133</v>
      </c>
      <c r="G247" s="21">
        <f>Normalisasi!L247</f>
        <v>1</v>
      </c>
      <c r="H247" s="26">
        <f>MAX(C247,0.000000001)^'Asumsi &amp; Bobot'!$E$6*MAX(D247,0.000000001)^'Asumsi &amp; Bobot'!$E$7*MAX(E247,0.000000001)^'Asumsi &amp; Bobot'!$E$8*MAX(F247,0.000000001)^'Asumsi &amp; Bobot'!$E$9*MAX(G247,0.000000001)^'Asumsi &amp; Bobot'!$E$10</f>
        <v>1.7715880156307544</v>
      </c>
      <c r="I247" s="26">
        <f t="shared" si="6"/>
        <v>1.8303978360279275E-3</v>
      </c>
      <c r="J247" s="18">
        <f t="shared" si="7"/>
        <v>252</v>
      </c>
    </row>
    <row r="248" spans="1:10" ht="15" customHeight="1" x14ac:dyDescent="0.35">
      <c r="A248" s="11">
        <v>246</v>
      </c>
      <c r="B248" s="8" t="str">
        <f>Normalisasi!B248</f>
        <v>Director of Marketing</v>
      </c>
      <c r="C248" s="25">
        <f>Normalisasi!H248</f>
        <v>8.8000000000000007</v>
      </c>
      <c r="D248" s="25">
        <f>Normalisasi!I248</f>
        <v>5.5</v>
      </c>
      <c r="E248" s="25">
        <f>Normalisasi!J248</f>
        <v>8.5599999999999987</v>
      </c>
      <c r="F248" s="25">
        <f>Normalisasi!K248</f>
        <v>7.4764670538754254</v>
      </c>
      <c r="G248" s="25">
        <f>Normalisasi!L248</f>
        <v>10</v>
      </c>
      <c r="H248" s="27">
        <f>MAX(C248,0.000000001)^'Asumsi &amp; Bobot'!$E$6*MAX(D248,0.000000001)^'Asumsi &amp; Bobot'!$E$7*MAX(E248,0.000000001)^'Asumsi &amp; Bobot'!$E$8*MAX(F248,0.000000001)^'Asumsi &amp; Bobot'!$E$9*MAX(G248,0.000000001)^'Asumsi &amp; Bobot'!$E$10</f>
        <v>4.4394072130515561</v>
      </c>
      <c r="I248" s="27">
        <f t="shared" si="6"/>
        <v>4.5867782375594874E-3</v>
      </c>
      <c r="J248" s="22">
        <f t="shared" si="7"/>
        <v>34</v>
      </c>
    </row>
    <row r="249" spans="1:10" ht="15" customHeight="1" x14ac:dyDescent="0.35">
      <c r="A249" s="14">
        <v>247</v>
      </c>
      <c r="B249" s="17" t="str">
        <f>Normalisasi!B249</f>
        <v>Junior Financial Analyst</v>
      </c>
      <c r="C249" s="21">
        <f>Normalisasi!H249</f>
        <v>3.4</v>
      </c>
      <c r="D249" s="21">
        <f>Normalisasi!I249</f>
        <v>1</v>
      </c>
      <c r="E249" s="21">
        <f>Normalisasi!J249</f>
        <v>2.08</v>
      </c>
      <c r="F249" s="21">
        <f>Normalisasi!K249</f>
        <v>2.7899058682155018</v>
      </c>
      <c r="G249" s="21">
        <f>Normalisasi!L249</f>
        <v>1</v>
      </c>
      <c r="H249" s="26">
        <f>MAX(C249,0.000000001)^'Asumsi &amp; Bobot'!$E$6*MAX(D249,0.000000001)^'Asumsi &amp; Bobot'!$E$7*MAX(E249,0.000000001)^'Asumsi &amp; Bobot'!$E$8*MAX(F249,0.000000001)^'Asumsi &amp; Bobot'!$E$9*MAX(G249,0.000000001)^'Asumsi &amp; Bobot'!$E$10</f>
        <v>1.4220175457083859</v>
      </c>
      <c r="I249" s="26">
        <f t="shared" si="6"/>
        <v>1.4692229883546909E-3</v>
      </c>
      <c r="J249" s="18">
        <f t="shared" si="7"/>
        <v>330</v>
      </c>
    </row>
    <row r="250" spans="1:10" ht="15" customHeight="1" x14ac:dyDescent="0.35">
      <c r="A250" s="11">
        <v>248</v>
      </c>
      <c r="B250" s="8" t="str">
        <f>Normalisasi!B250</f>
        <v>Senior Project Coordinator</v>
      </c>
      <c r="C250" s="25">
        <f>Normalisasi!H250</f>
        <v>6.4</v>
      </c>
      <c r="D250" s="25">
        <f>Normalisasi!I250</f>
        <v>1</v>
      </c>
      <c r="E250" s="25">
        <f>Normalisasi!J250</f>
        <v>4.96</v>
      </c>
      <c r="F250" s="25">
        <f>Normalisasi!K250</f>
        <v>4.4121770478670133</v>
      </c>
      <c r="G250" s="25">
        <f>Normalisasi!L250</f>
        <v>10</v>
      </c>
      <c r="H250" s="27">
        <f>MAX(C250,0.000000001)^'Asumsi &amp; Bobot'!$E$6*MAX(D250,0.000000001)^'Asumsi &amp; Bobot'!$E$7*MAX(E250,0.000000001)^'Asumsi &amp; Bobot'!$E$8*MAX(F250,0.000000001)^'Asumsi &amp; Bobot'!$E$9*MAX(G250,0.000000001)^'Asumsi &amp; Bobot'!$E$10</f>
        <v>2.3647006068028134</v>
      </c>
      <c r="I250" s="27">
        <f t="shared" si="6"/>
        <v>2.4431994545891854E-3</v>
      </c>
      <c r="J250" s="22">
        <f t="shared" si="7"/>
        <v>168</v>
      </c>
    </row>
    <row r="251" spans="1:10" ht="15" customHeight="1" x14ac:dyDescent="0.35">
      <c r="A251" s="14">
        <v>249</v>
      </c>
      <c r="B251" s="17" t="str">
        <f>Normalisasi!B251</f>
        <v>Director of Operations</v>
      </c>
      <c r="C251" s="21">
        <f>Normalisasi!H251</f>
        <v>8.1999999999999993</v>
      </c>
      <c r="D251" s="21">
        <f>Normalisasi!I251</f>
        <v>5.5</v>
      </c>
      <c r="E251" s="21">
        <f>Normalisasi!J251</f>
        <v>8.1999999999999993</v>
      </c>
      <c r="F251" s="21">
        <f>Normalisasi!K251</f>
        <v>7.1159623472862004</v>
      </c>
      <c r="G251" s="21">
        <f>Normalisasi!L251</f>
        <v>1</v>
      </c>
      <c r="H251" s="26">
        <f>MAX(C251,0.000000001)^'Asumsi &amp; Bobot'!$E$6*MAX(D251,0.000000001)^'Asumsi &amp; Bobot'!$E$7*MAX(E251,0.000000001)^'Asumsi &amp; Bobot'!$E$8*MAX(F251,0.000000001)^'Asumsi &amp; Bobot'!$E$9*MAX(G251,0.000000001)^'Asumsi &amp; Bobot'!$E$10</f>
        <v>3.7253431798464476</v>
      </c>
      <c r="I251" s="26">
        <f t="shared" si="6"/>
        <v>3.8490100602902055E-3</v>
      </c>
      <c r="J251" s="18">
        <f t="shared" si="7"/>
        <v>85</v>
      </c>
    </row>
    <row r="252" spans="1:10" ht="15" customHeight="1" x14ac:dyDescent="0.35">
      <c r="A252" s="11">
        <v>250</v>
      </c>
      <c r="B252" s="8" t="str">
        <f>Normalisasi!B252</f>
        <v>Junior Marketing Coordinator</v>
      </c>
      <c r="C252" s="25">
        <f>Normalisasi!H252</f>
        <v>3.1</v>
      </c>
      <c r="D252" s="25">
        <f>Normalisasi!I252</f>
        <v>1</v>
      </c>
      <c r="E252" s="25">
        <f>Normalisasi!J252</f>
        <v>1.72</v>
      </c>
      <c r="F252" s="25">
        <f>Normalisasi!K252</f>
        <v>2.4294011616262767</v>
      </c>
      <c r="G252" s="25">
        <f>Normalisasi!L252</f>
        <v>10</v>
      </c>
      <c r="H252" s="27">
        <f>MAX(C252,0.000000001)^'Asumsi &amp; Bobot'!$E$6*MAX(D252,0.000000001)^'Asumsi &amp; Bobot'!$E$7*MAX(E252,0.000000001)^'Asumsi &amp; Bobot'!$E$8*MAX(F252,0.000000001)^'Asumsi &amp; Bobot'!$E$9*MAX(G252,0.000000001)^'Asumsi &amp; Bobot'!$E$10</f>
        <v>1.556139725983684</v>
      </c>
      <c r="I252" s="27">
        <f t="shared" si="6"/>
        <v>1.6077975025042726E-3</v>
      </c>
      <c r="J252" s="22">
        <f t="shared" si="7"/>
        <v>297</v>
      </c>
    </row>
    <row r="253" spans="1:10" ht="15" customHeight="1" x14ac:dyDescent="0.35">
      <c r="A253" s="14">
        <v>251</v>
      </c>
      <c r="B253" s="17" t="str">
        <f>Normalisasi!B253</f>
        <v>Senior IT Consultant</v>
      </c>
      <c r="C253" s="21">
        <f>Normalisasi!H253</f>
        <v>5.5</v>
      </c>
      <c r="D253" s="21">
        <f>Normalisasi!I253</f>
        <v>5.5</v>
      </c>
      <c r="E253" s="21">
        <f>Normalisasi!J253</f>
        <v>4.24</v>
      </c>
      <c r="F253" s="21">
        <f>Normalisasi!K253</f>
        <v>4.9529341077508509</v>
      </c>
      <c r="G253" s="21">
        <f>Normalisasi!L253</f>
        <v>1</v>
      </c>
      <c r="H253" s="26">
        <f>MAX(C253,0.000000001)^'Asumsi &amp; Bobot'!$E$6*MAX(D253,0.000000001)^'Asumsi &amp; Bobot'!$E$7*MAX(E253,0.000000001)^'Asumsi &amp; Bobot'!$E$8*MAX(F253,0.000000001)^'Asumsi &amp; Bobot'!$E$9*MAX(G253,0.000000001)^'Asumsi &amp; Bobot'!$E$10</f>
        <v>2.8971848171227839</v>
      </c>
      <c r="I253" s="26">
        <f t="shared" si="6"/>
        <v>2.9933600662490571E-3</v>
      </c>
      <c r="J253" s="18">
        <f t="shared" si="7"/>
        <v>126</v>
      </c>
    </row>
    <row r="254" spans="1:10" ht="15" customHeight="1" x14ac:dyDescent="0.35">
      <c r="A254" s="11">
        <v>252</v>
      </c>
      <c r="B254" s="8" t="str">
        <f>Normalisasi!B254</f>
        <v>Senior Product Designer</v>
      </c>
      <c r="C254" s="25">
        <f>Normalisasi!H254</f>
        <v>7.6</v>
      </c>
      <c r="D254" s="25">
        <f>Normalisasi!I254</f>
        <v>10</v>
      </c>
      <c r="E254" s="25">
        <f>Normalisasi!J254</f>
        <v>6.4</v>
      </c>
      <c r="F254" s="25">
        <f>Normalisasi!K254</f>
        <v>6.3949529341077511</v>
      </c>
      <c r="G254" s="25">
        <f>Normalisasi!L254</f>
        <v>10</v>
      </c>
      <c r="H254" s="27">
        <f>MAX(C254,0.000000001)^'Asumsi &amp; Bobot'!$E$6*MAX(D254,0.000000001)^'Asumsi &amp; Bobot'!$E$7*MAX(E254,0.000000001)^'Asumsi &amp; Bobot'!$E$8*MAX(F254,0.000000001)^'Asumsi &amp; Bobot'!$E$9*MAX(G254,0.000000001)^'Asumsi &amp; Bobot'!$E$10</f>
        <v>4.6857350632286741</v>
      </c>
      <c r="I254" s="27">
        <f t="shared" si="6"/>
        <v>4.8412832127227327E-3</v>
      </c>
      <c r="J254" s="22">
        <f t="shared" si="7"/>
        <v>15</v>
      </c>
    </row>
    <row r="255" spans="1:10" ht="15" customHeight="1" x14ac:dyDescent="0.35">
      <c r="A255" s="14">
        <v>253</v>
      </c>
      <c r="B255" s="17" t="str">
        <f>Normalisasi!B255</f>
        <v>Junior Business Development Associate</v>
      </c>
      <c r="C255" s="21">
        <f>Normalisasi!H255</f>
        <v>2.5</v>
      </c>
      <c r="D255" s="21">
        <f>Normalisasi!I255</f>
        <v>1</v>
      </c>
      <c r="E255" s="21">
        <f>Normalisasi!J255</f>
        <v>1.72</v>
      </c>
      <c r="F255" s="21">
        <f>Normalisasi!K255</f>
        <v>2.4294011616262767</v>
      </c>
      <c r="G255" s="21">
        <f>Normalisasi!L255</f>
        <v>1</v>
      </c>
      <c r="H255" s="26">
        <f>MAX(C255,0.000000001)^'Asumsi &amp; Bobot'!$E$6*MAX(D255,0.000000001)^'Asumsi &amp; Bobot'!$E$7*MAX(E255,0.000000001)^'Asumsi &amp; Bobot'!$E$8*MAX(F255,0.000000001)^'Asumsi &amp; Bobot'!$E$9*MAX(G255,0.000000001)^'Asumsi &amp; Bobot'!$E$10</f>
        <v>1.2784907377815737</v>
      </c>
      <c r="I255" s="26">
        <f t="shared" si="6"/>
        <v>1.3209316495539497E-3</v>
      </c>
      <c r="J255" s="18">
        <f t="shared" si="7"/>
        <v>347</v>
      </c>
    </row>
    <row r="256" spans="1:10" ht="15" customHeight="1" x14ac:dyDescent="0.35">
      <c r="A256" s="11">
        <v>254</v>
      </c>
      <c r="B256" s="8" t="str">
        <f>Normalisasi!B256</f>
        <v>Senior Marketing Analyst</v>
      </c>
      <c r="C256" s="25">
        <f>Normalisasi!H256</f>
        <v>4.5999999999999996</v>
      </c>
      <c r="D256" s="25">
        <f>Normalisasi!I256</f>
        <v>1</v>
      </c>
      <c r="E256" s="25">
        <f>Normalisasi!J256</f>
        <v>3.88</v>
      </c>
      <c r="F256" s="25">
        <f>Normalisasi!K256</f>
        <v>4.0516723412777891</v>
      </c>
      <c r="G256" s="25">
        <f>Normalisasi!L256</f>
        <v>10</v>
      </c>
      <c r="H256" s="27">
        <f>MAX(C256,0.000000001)^'Asumsi &amp; Bobot'!$E$6*MAX(D256,0.000000001)^'Asumsi &amp; Bobot'!$E$7*MAX(E256,0.000000001)^'Asumsi &amp; Bobot'!$E$8*MAX(F256,0.000000001)^'Asumsi &amp; Bobot'!$E$9*MAX(G256,0.000000001)^'Asumsi &amp; Bobot'!$E$10</f>
        <v>2.0628971030138525</v>
      </c>
      <c r="I256" s="27">
        <f t="shared" si="6"/>
        <v>2.1313772502352703E-3</v>
      </c>
      <c r="J256" s="22">
        <f t="shared" si="7"/>
        <v>212</v>
      </c>
    </row>
    <row r="257" spans="1:10" ht="15" customHeight="1" x14ac:dyDescent="0.35">
      <c r="A257" s="14">
        <v>255</v>
      </c>
      <c r="B257" s="17" t="str">
        <f>Normalisasi!B257</f>
        <v>Senior Software Engineer</v>
      </c>
      <c r="C257" s="21">
        <f>Normalisasi!H257</f>
        <v>7.3</v>
      </c>
      <c r="D257" s="21">
        <f>Normalisasi!I257</f>
        <v>1</v>
      </c>
      <c r="E257" s="21">
        <f>Normalisasi!J257</f>
        <v>6.04</v>
      </c>
      <c r="F257" s="21">
        <f>Normalisasi!K257</f>
        <v>5.673943520929301</v>
      </c>
      <c r="G257" s="21">
        <f>Normalisasi!L257</f>
        <v>1</v>
      </c>
      <c r="H257" s="26">
        <f>MAX(C257,0.000000001)^'Asumsi &amp; Bobot'!$E$6*MAX(D257,0.000000001)^'Asumsi &amp; Bobot'!$E$7*MAX(E257,0.000000001)^'Asumsi &amp; Bobot'!$E$8*MAX(F257,0.000000001)^'Asumsi &amp; Bobot'!$E$9*MAX(G257,0.000000001)^'Asumsi &amp; Bobot'!$E$10</f>
        <v>2.1502661445399873</v>
      </c>
      <c r="I257" s="26">
        <f t="shared" si="6"/>
        <v>2.2216466035692808E-3</v>
      </c>
      <c r="J257" s="18">
        <f t="shared" si="7"/>
        <v>194</v>
      </c>
    </row>
    <row r="258" spans="1:10" ht="15" customHeight="1" x14ac:dyDescent="0.35">
      <c r="A258" s="11">
        <v>256</v>
      </c>
      <c r="B258" s="8" t="str">
        <f>Normalisasi!B258</f>
        <v>Senior Financial Advisor</v>
      </c>
      <c r="C258" s="25">
        <f>Normalisasi!H258</f>
        <v>4.3</v>
      </c>
      <c r="D258" s="25">
        <f>Normalisasi!I258</f>
        <v>5.5</v>
      </c>
      <c r="E258" s="25">
        <f>Normalisasi!J258</f>
        <v>3.16</v>
      </c>
      <c r="F258" s="25">
        <f>Normalisasi!K258</f>
        <v>4.5924294011616258</v>
      </c>
      <c r="G258" s="25">
        <f>Normalisasi!L258</f>
        <v>10</v>
      </c>
      <c r="H258" s="27">
        <f>MAX(C258,0.000000001)^'Asumsi &amp; Bobot'!$E$6*MAX(D258,0.000000001)^'Asumsi &amp; Bobot'!$E$7*MAX(E258,0.000000001)^'Asumsi &amp; Bobot'!$E$8*MAX(F258,0.000000001)^'Asumsi &amp; Bobot'!$E$9*MAX(G258,0.000000001)^'Asumsi &amp; Bobot'!$E$10</f>
        <v>2.9449670320452155</v>
      </c>
      <c r="I258" s="27">
        <f t="shared" si="6"/>
        <v>3.0427284645577917E-3</v>
      </c>
      <c r="J258" s="22">
        <f t="shared" si="7"/>
        <v>122</v>
      </c>
    </row>
    <row r="259" spans="1:10" ht="15" customHeight="1" x14ac:dyDescent="0.35">
      <c r="A259" s="14">
        <v>257</v>
      </c>
      <c r="B259" s="17" t="str">
        <f>Normalisasi!B259</f>
        <v>Senior Project Coordinator</v>
      </c>
      <c r="C259" s="21">
        <f>Normalisasi!H259</f>
        <v>4.5999999999999996</v>
      </c>
      <c r="D259" s="21">
        <f>Normalisasi!I259</f>
        <v>1</v>
      </c>
      <c r="E259" s="21">
        <f>Normalisasi!J259</f>
        <v>4.24</v>
      </c>
      <c r="F259" s="21">
        <f>Normalisasi!K259</f>
        <v>4.4121770478670133</v>
      </c>
      <c r="G259" s="21">
        <f>Normalisasi!L259</f>
        <v>1</v>
      </c>
      <c r="H259" s="26">
        <f>MAX(C259,0.000000001)^'Asumsi &amp; Bobot'!$E$6*MAX(D259,0.000000001)^'Asumsi &amp; Bobot'!$E$7*MAX(E259,0.000000001)^'Asumsi &amp; Bobot'!$E$8*MAX(F259,0.000000001)^'Asumsi &amp; Bobot'!$E$9*MAX(G259,0.000000001)^'Asumsi &amp; Bobot'!$E$10</f>
        <v>1.8018548139422879</v>
      </c>
      <c r="I259" s="26">
        <f t="shared" ref="I259:I322" si="8">H259/SUM($H$3:$H$375)</f>
        <v>1.8616693741305376E-3</v>
      </c>
      <c r="J259" s="18">
        <f t="shared" ref="J259:J322" si="9">RANK(I259,$I$3:$I$375,0)</f>
        <v>245</v>
      </c>
    </row>
    <row r="260" spans="1:10" ht="15" customHeight="1" x14ac:dyDescent="0.35">
      <c r="A260" s="11">
        <v>258</v>
      </c>
      <c r="B260" s="8" t="str">
        <f>Normalisasi!B260</f>
        <v>Director of Operations</v>
      </c>
      <c r="C260" s="25">
        <f>Normalisasi!H260</f>
        <v>9.1</v>
      </c>
      <c r="D260" s="25">
        <f>Normalisasi!I260</f>
        <v>10</v>
      </c>
      <c r="E260" s="25">
        <f>Normalisasi!J260</f>
        <v>8.92</v>
      </c>
      <c r="F260" s="25">
        <f>Normalisasi!K260</f>
        <v>7.4764670538754254</v>
      </c>
      <c r="G260" s="25">
        <f>Normalisasi!L260</f>
        <v>10</v>
      </c>
      <c r="H260" s="27">
        <f>MAX(C260,0.000000001)^'Asumsi &amp; Bobot'!$E$6*MAX(D260,0.000000001)^'Asumsi &amp; Bobot'!$E$7*MAX(E260,0.000000001)^'Asumsi &amp; Bobot'!$E$8*MAX(F260,0.000000001)^'Asumsi &amp; Bobot'!$E$9*MAX(G260,0.000000001)^'Asumsi &amp; Bobot'!$E$10</f>
        <v>5.3141895380369997</v>
      </c>
      <c r="I260" s="27">
        <f t="shared" si="8"/>
        <v>5.4905999277726856E-3</v>
      </c>
      <c r="J260" s="22">
        <f t="shared" si="9"/>
        <v>2</v>
      </c>
    </row>
    <row r="261" spans="1:10" ht="15" customHeight="1" x14ac:dyDescent="0.35">
      <c r="A261" s="14">
        <v>259</v>
      </c>
      <c r="B261" s="17" t="str">
        <f>Normalisasi!B261</f>
        <v>Junior Business Operations Analyst</v>
      </c>
      <c r="C261" s="21">
        <f>Normalisasi!H261</f>
        <v>2.8</v>
      </c>
      <c r="D261" s="21">
        <f>Normalisasi!I261</f>
        <v>1</v>
      </c>
      <c r="E261" s="21">
        <f>Normalisasi!J261</f>
        <v>1.54</v>
      </c>
      <c r="F261" s="21">
        <f>Normalisasi!K261</f>
        <v>1</v>
      </c>
      <c r="G261" s="21">
        <f>Normalisasi!L261</f>
        <v>1</v>
      </c>
      <c r="H261" s="26">
        <f>MAX(C261,0.000000001)^'Asumsi &amp; Bobot'!$E$6*MAX(D261,0.000000001)^'Asumsi &amp; Bobot'!$E$7*MAX(E261,0.000000001)^'Asumsi &amp; Bobot'!$E$8*MAX(F261,0.000000001)^'Asumsi &amp; Bobot'!$E$9*MAX(G261,0.000000001)^'Asumsi &amp; Bobot'!$E$10</f>
        <v>1.4188566277943164</v>
      </c>
      <c r="I261" s="26">
        <f t="shared" si="8"/>
        <v>1.4659571402801234E-3</v>
      </c>
      <c r="J261" s="18">
        <f t="shared" si="9"/>
        <v>333</v>
      </c>
    </row>
    <row r="262" spans="1:10" ht="15" customHeight="1" x14ac:dyDescent="0.35">
      <c r="A262" s="11">
        <v>260</v>
      </c>
      <c r="B262" s="8" t="str">
        <f>Normalisasi!B262</f>
        <v>Senior Financial Manager</v>
      </c>
      <c r="C262" s="25">
        <f>Normalisasi!H262</f>
        <v>5.2</v>
      </c>
      <c r="D262" s="25">
        <f>Normalisasi!I262</f>
        <v>1</v>
      </c>
      <c r="E262" s="25">
        <f>Normalisasi!J262</f>
        <v>4.5999999999999996</v>
      </c>
      <c r="F262" s="25">
        <f>Normalisasi!K262</f>
        <v>5.3134388143400759</v>
      </c>
      <c r="G262" s="25">
        <f>Normalisasi!L262</f>
        <v>10</v>
      </c>
      <c r="H262" s="27">
        <f>MAX(C262,0.000000001)^'Asumsi &amp; Bobot'!$E$6*MAX(D262,0.000000001)^'Asumsi &amp; Bobot'!$E$7*MAX(E262,0.000000001)^'Asumsi &amp; Bobot'!$E$8*MAX(F262,0.000000001)^'Asumsi &amp; Bobot'!$E$9*MAX(G262,0.000000001)^'Asumsi &amp; Bobot'!$E$10</f>
        <v>2.1580915027842673</v>
      </c>
      <c r="I262" s="27">
        <f t="shared" si="8"/>
        <v>2.2297317332213764E-3</v>
      </c>
      <c r="J262" s="22">
        <f t="shared" si="9"/>
        <v>193</v>
      </c>
    </row>
    <row r="263" spans="1:10" ht="15" customHeight="1" x14ac:dyDescent="0.35">
      <c r="A263" s="14">
        <v>261</v>
      </c>
      <c r="B263" s="17" t="str">
        <f>Normalisasi!B263</f>
        <v>Senior Data Scientist</v>
      </c>
      <c r="C263" s="21">
        <f>Normalisasi!H263</f>
        <v>7.9</v>
      </c>
      <c r="D263" s="21">
        <f>Normalisasi!I263</f>
        <v>10</v>
      </c>
      <c r="E263" s="21">
        <f>Normalisasi!J263</f>
        <v>7.48</v>
      </c>
      <c r="F263" s="21">
        <f>Normalisasi!K263</f>
        <v>6.7554576406969762</v>
      </c>
      <c r="G263" s="21">
        <f>Normalisasi!L263</f>
        <v>1</v>
      </c>
      <c r="H263" s="26">
        <f>MAX(C263,0.000000001)^'Asumsi &amp; Bobot'!$E$6*MAX(D263,0.000000001)^'Asumsi &amp; Bobot'!$E$7*MAX(E263,0.000000001)^'Asumsi &amp; Bobot'!$E$8*MAX(F263,0.000000001)^'Asumsi &amp; Bobot'!$E$9*MAX(G263,0.000000001)^'Asumsi &amp; Bobot'!$E$10</f>
        <v>4.2351810511523436</v>
      </c>
      <c r="I263" s="26">
        <f t="shared" si="8"/>
        <v>4.3757725627059487E-3</v>
      </c>
      <c r="J263" s="18">
        <f t="shared" si="9"/>
        <v>51</v>
      </c>
    </row>
    <row r="264" spans="1:10" ht="15" customHeight="1" x14ac:dyDescent="0.35">
      <c r="A264" s="11">
        <v>262</v>
      </c>
      <c r="B264" s="8" t="str">
        <f>Normalisasi!B264</f>
        <v>Junior Marketing Coordinator</v>
      </c>
      <c r="C264" s="25">
        <f>Normalisasi!H264</f>
        <v>3.4</v>
      </c>
      <c r="D264" s="25">
        <f>Normalisasi!I264</f>
        <v>1</v>
      </c>
      <c r="E264" s="25">
        <f>Normalisasi!J264</f>
        <v>2.08</v>
      </c>
      <c r="F264" s="25">
        <f>Normalisasi!K264</f>
        <v>2.7899058682155018</v>
      </c>
      <c r="G264" s="25">
        <f>Normalisasi!L264</f>
        <v>10</v>
      </c>
      <c r="H264" s="27">
        <f>MAX(C264,0.000000001)^'Asumsi &amp; Bobot'!$E$6*MAX(D264,0.000000001)^'Asumsi &amp; Bobot'!$E$7*MAX(E264,0.000000001)^'Asumsi &amp; Bobot'!$E$8*MAX(F264,0.000000001)^'Asumsi &amp; Bobot'!$E$9*MAX(G264,0.000000001)^'Asumsi &amp; Bobot'!$E$10</f>
        <v>1.6579507352718066</v>
      </c>
      <c r="I264" s="27">
        <f t="shared" si="8"/>
        <v>1.7129882406672022E-3</v>
      </c>
      <c r="J264" s="22">
        <f t="shared" si="9"/>
        <v>277</v>
      </c>
    </row>
    <row r="265" spans="1:10" ht="15" customHeight="1" x14ac:dyDescent="0.35">
      <c r="A265" s="14">
        <v>263</v>
      </c>
      <c r="B265" s="17" t="str">
        <f>Normalisasi!B265</f>
        <v>Senior Operations Manager</v>
      </c>
      <c r="C265" s="21">
        <f>Normalisasi!H265</f>
        <v>6.7</v>
      </c>
      <c r="D265" s="21">
        <f>Normalisasi!I265</f>
        <v>1</v>
      </c>
      <c r="E265" s="21">
        <f>Normalisasi!J265</f>
        <v>5.32</v>
      </c>
      <c r="F265" s="21">
        <f>Normalisasi!K265</f>
        <v>4.9529341077508509</v>
      </c>
      <c r="G265" s="21">
        <f>Normalisasi!L265</f>
        <v>1</v>
      </c>
      <c r="H265" s="26">
        <f>MAX(C265,0.000000001)^'Asumsi &amp; Bobot'!$E$6*MAX(D265,0.000000001)^'Asumsi &amp; Bobot'!$E$7*MAX(E265,0.000000001)^'Asumsi &amp; Bobot'!$E$8*MAX(F265,0.000000001)^'Asumsi &amp; Bobot'!$E$9*MAX(G265,0.000000001)^'Asumsi &amp; Bobot'!$E$10</f>
        <v>2.0631802156785799</v>
      </c>
      <c r="I265" s="26">
        <f t="shared" si="8"/>
        <v>2.1316697611375212E-3</v>
      </c>
      <c r="J265" s="18">
        <f t="shared" si="9"/>
        <v>211</v>
      </c>
    </row>
    <row r="266" spans="1:10" ht="15" customHeight="1" x14ac:dyDescent="0.35">
      <c r="A266" s="11">
        <v>264</v>
      </c>
      <c r="B266" s="8" t="str">
        <f>Normalisasi!B266</f>
        <v>Junior Sales Representative</v>
      </c>
      <c r="C266" s="25">
        <f>Normalisasi!H266</f>
        <v>2.8</v>
      </c>
      <c r="D266" s="25">
        <f>Normalisasi!I266</f>
        <v>1</v>
      </c>
      <c r="E266" s="25">
        <f>Normalisasi!J266</f>
        <v>1.54</v>
      </c>
      <c r="F266" s="25">
        <f>Normalisasi!K266</f>
        <v>2.4294011616262767</v>
      </c>
      <c r="G266" s="25">
        <f>Normalisasi!L266</f>
        <v>10</v>
      </c>
      <c r="H266" s="27">
        <f>MAX(C266,0.000000001)^'Asumsi &amp; Bobot'!$E$6*MAX(D266,0.000000001)^'Asumsi &amp; Bobot'!$E$7*MAX(E266,0.000000001)^'Asumsi &amp; Bobot'!$E$8*MAX(F266,0.000000001)^'Asumsi &amp; Bobot'!$E$9*MAX(G266,0.000000001)^'Asumsi &amp; Bobot'!$E$10</f>
        <v>1.4696207724537771</v>
      </c>
      <c r="I266" s="27">
        <f t="shared" si="8"/>
        <v>1.5184064567762066E-3</v>
      </c>
      <c r="J266" s="22">
        <f t="shared" si="9"/>
        <v>326</v>
      </c>
    </row>
    <row r="267" spans="1:10" ht="15" customHeight="1" x14ac:dyDescent="0.35">
      <c r="A267" s="14">
        <v>265</v>
      </c>
      <c r="B267" s="17" t="str">
        <f>Normalisasi!B267</f>
        <v>Senior Marketing Specialist</v>
      </c>
      <c r="C267" s="21">
        <f>Normalisasi!H267</f>
        <v>4.9000000000000004</v>
      </c>
      <c r="D267" s="21">
        <f>Normalisasi!I267</f>
        <v>1</v>
      </c>
      <c r="E267" s="21">
        <f>Normalisasi!J267</f>
        <v>3.88</v>
      </c>
      <c r="F267" s="21">
        <f>Normalisasi!K267</f>
        <v>4.4121770478670133</v>
      </c>
      <c r="G267" s="21">
        <f>Normalisasi!L267</f>
        <v>1</v>
      </c>
      <c r="H267" s="26">
        <f>MAX(C267,0.000000001)^'Asumsi &amp; Bobot'!$E$6*MAX(D267,0.000000001)^'Asumsi &amp; Bobot'!$E$7*MAX(E267,0.000000001)^'Asumsi &amp; Bobot'!$E$8*MAX(F267,0.000000001)^'Asumsi &amp; Bobot'!$E$9*MAX(G267,0.000000001)^'Asumsi &amp; Bobot'!$E$10</f>
        <v>1.7715880156307544</v>
      </c>
      <c r="I267" s="26">
        <f t="shared" si="8"/>
        <v>1.8303978360279275E-3</v>
      </c>
      <c r="J267" s="18">
        <f t="shared" si="9"/>
        <v>252</v>
      </c>
    </row>
    <row r="268" spans="1:10" ht="15" customHeight="1" x14ac:dyDescent="0.35">
      <c r="A268" s="11">
        <v>266</v>
      </c>
      <c r="B268" s="8" t="str">
        <f>Normalisasi!B268</f>
        <v>Senior HR Specialist</v>
      </c>
      <c r="C268" s="25">
        <f>Normalisasi!H268</f>
        <v>7.3</v>
      </c>
      <c r="D268" s="25">
        <f>Normalisasi!I268</f>
        <v>5.5</v>
      </c>
      <c r="E268" s="25">
        <f>Normalisasi!J268</f>
        <v>6.4</v>
      </c>
      <c r="F268" s="25">
        <f>Normalisasi!K268</f>
        <v>6.0344482275185261</v>
      </c>
      <c r="G268" s="25">
        <f>Normalisasi!L268</f>
        <v>10</v>
      </c>
      <c r="H268" s="27">
        <f>MAX(C268,0.000000001)^'Asumsi &amp; Bobot'!$E$6*MAX(D268,0.000000001)^'Asumsi &amp; Bobot'!$E$7*MAX(E268,0.000000001)^'Asumsi &amp; Bobot'!$E$8*MAX(F268,0.000000001)^'Asumsi &amp; Bobot'!$E$9*MAX(G268,0.000000001)^'Asumsi &amp; Bobot'!$E$10</f>
        <v>3.9939528950649663</v>
      </c>
      <c r="I268" s="27">
        <f t="shared" si="8"/>
        <v>4.1265365716089243E-3</v>
      </c>
      <c r="J268" s="22">
        <f t="shared" si="9"/>
        <v>63</v>
      </c>
    </row>
    <row r="269" spans="1:10" ht="15" customHeight="1" x14ac:dyDescent="0.35">
      <c r="A269" s="14">
        <v>267</v>
      </c>
      <c r="B269" s="17" t="str">
        <f>Normalisasi!B269</f>
        <v>Junior Operations Manager</v>
      </c>
      <c r="C269" s="21">
        <f>Normalisasi!H269</f>
        <v>4</v>
      </c>
      <c r="D269" s="21">
        <f>Normalisasi!I269</f>
        <v>1</v>
      </c>
      <c r="E269" s="21">
        <f>Normalisasi!J269</f>
        <v>2.44</v>
      </c>
      <c r="F269" s="21">
        <f>Normalisasi!K269</f>
        <v>3.1504105748047264</v>
      </c>
      <c r="G269" s="21">
        <f>Normalisasi!L269</f>
        <v>1</v>
      </c>
      <c r="H269" s="26">
        <f>MAX(C269,0.000000001)^'Asumsi &amp; Bobot'!$E$6*MAX(D269,0.000000001)^'Asumsi &amp; Bobot'!$E$7*MAX(E269,0.000000001)^'Asumsi &amp; Bobot'!$E$8*MAX(F269,0.000000001)^'Asumsi &amp; Bobot'!$E$9*MAX(G269,0.000000001)^'Asumsi &amp; Bobot'!$E$10</f>
        <v>1.5243791014849373</v>
      </c>
      <c r="I269" s="26">
        <f t="shared" si="8"/>
        <v>1.5749825490046559E-3</v>
      </c>
      <c r="J269" s="18">
        <f t="shared" si="9"/>
        <v>309</v>
      </c>
    </row>
    <row r="270" spans="1:10" ht="15" customHeight="1" x14ac:dyDescent="0.35">
      <c r="A270" s="11">
        <v>268</v>
      </c>
      <c r="B270" s="8" t="str">
        <f>Normalisasi!B270</f>
        <v>Senior Marketing Coordinator</v>
      </c>
      <c r="C270" s="25">
        <f>Normalisasi!H270</f>
        <v>5.8</v>
      </c>
      <c r="D270" s="25">
        <f>Normalisasi!I270</f>
        <v>1</v>
      </c>
      <c r="E270" s="25">
        <f>Normalisasi!J270</f>
        <v>4.24</v>
      </c>
      <c r="F270" s="25">
        <f>Normalisasi!K270</f>
        <v>4.9529341077508509</v>
      </c>
      <c r="G270" s="25">
        <f>Normalisasi!L270</f>
        <v>10</v>
      </c>
      <c r="H270" s="27">
        <f>MAX(C270,0.000000001)^'Asumsi &amp; Bobot'!$E$6*MAX(D270,0.000000001)^'Asumsi &amp; Bobot'!$E$7*MAX(E270,0.000000001)^'Asumsi &amp; Bobot'!$E$8*MAX(F270,0.000000001)^'Asumsi &amp; Bobot'!$E$9*MAX(G270,0.000000001)^'Asumsi &amp; Bobot'!$E$10</f>
        <v>2.1668351775348005</v>
      </c>
      <c r="I270" s="27">
        <f t="shared" si="8"/>
        <v>2.2387656639101714E-3</v>
      </c>
      <c r="J270" s="22">
        <f t="shared" si="9"/>
        <v>191</v>
      </c>
    </row>
    <row r="271" spans="1:10" ht="15" customHeight="1" x14ac:dyDescent="0.35">
      <c r="A271" s="14">
        <v>269</v>
      </c>
      <c r="B271" s="17" t="str">
        <f>Normalisasi!B271</f>
        <v>Senior Data Engineer</v>
      </c>
      <c r="C271" s="21">
        <f>Normalisasi!H271</f>
        <v>7.6</v>
      </c>
      <c r="D271" s="21">
        <f>Normalisasi!I271</f>
        <v>10</v>
      </c>
      <c r="E271" s="21">
        <f>Normalisasi!J271</f>
        <v>6.76</v>
      </c>
      <c r="F271" s="21">
        <f>Normalisasi!K271</f>
        <v>6.3949529341077511</v>
      </c>
      <c r="G271" s="21">
        <f>Normalisasi!L271</f>
        <v>1</v>
      </c>
      <c r="H271" s="26">
        <f>MAX(C271,0.000000001)^'Asumsi &amp; Bobot'!$E$6*MAX(D271,0.000000001)^'Asumsi &amp; Bobot'!$E$7*MAX(E271,0.000000001)^'Asumsi &amp; Bobot'!$E$8*MAX(F271,0.000000001)^'Asumsi &amp; Bobot'!$E$9*MAX(G271,0.000000001)^'Asumsi &amp; Bobot'!$E$10</f>
        <v>4.0929204467848725</v>
      </c>
      <c r="I271" s="26">
        <f t="shared" si="8"/>
        <v>4.2287894604898651E-3</v>
      </c>
      <c r="J271" s="18">
        <f t="shared" si="9"/>
        <v>57</v>
      </c>
    </row>
    <row r="272" spans="1:10" ht="15" customHeight="1" x14ac:dyDescent="0.35">
      <c r="A272" s="11">
        <v>270</v>
      </c>
      <c r="B272" s="8" t="str">
        <f>Normalisasi!B272</f>
        <v>Junior Marketing Manager</v>
      </c>
      <c r="C272" s="25">
        <f>Normalisasi!H272</f>
        <v>3.7</v>
      </c>
      <c r="D272" s="25">
        <f>Normalisasi!I272</f>
        <v>1</v>
      </c>
      <c r="E272" s="25">
        <f>Normalisasi!J272</f>
        <v>2.44</v>
      </c>
      <c r="F272" s="25">
        <f>Normalisasi!K272</f>
        <v>3.1504105748047264</v>
      </c>
      <c r="G272" s="25">
        <f>Normalisasi!L272</f>
        <v>10</v>
      </c>
      <c r="H272" s="27">
        <f>MAX(C272,0.000000001)^'Asumsi &amp; Bobot'!$E$6*MAX(D272,0.000000001)^'Asumsi &amp; Bobot'!$E$7*MAX(E272,0.000000001)^'Asumsi &amp; Bobot'!$E$8*MAX(F272,0.000000001)^'Asumsi &amp; Bobot'!$E$9*MAX(G272,0.000000001)^'Asumsi &amp; Bobot'!$E$10</f>
        <v>1.7497983367594647</v>
      </c>
      <c r="I272" s="27">
        <f t="shared" si="8"/>
        <v>1.8078848247059629E-3</v>
      </c>
      <c r="J272" s="22">
        <f t="shared" si="9"/>
        <v>259</v>
      </c>
    </row>
    <row r="273" spans="1:10" ht="15" customHeight="1" x14ac:dyDescent="0.35">
      <c r="A273" s="14">
        <v>271</v>
      </c>
      <c r="B273" s="17" t="str">
        <f>Normalisasi!B273</f>
        <v>Senior Financial Analyst</v>
      </c>
      <c r="C273" s="21">
        <f>Normalisasi!H273</f>
        <v>5.2</v>
      </c>
      <c r="D273" s="21">
        <f>Normalisasi!I273</f>
        <v>1</v>
      </c>
      <c r="E273" s="21">
        <f>Normalisasi!J273</f>
        <v>3.88</v>
      </c>
      <c r="F273" s="21">
        <f>Normalisasi!K273</f>
        <v>4.2319246945724007</v>
      </c>
      <c r="G273" s="21">
        <f>Normalisasi!L273</f>
        <v>1</v>
      </c>
      <c r="H273" s="26">
        <f>MAX(C273,0.000000001)^'Asumsi &amp; Bobot'!$E$6*MAX(D273,0.000000001)^'Asumsi &amp; Bobot'!$E$7*MAX(E273,0.000000001)^'Asumsi &amp; Bobot'!$E$8*MAX(F273,0.000000001)^'Asumsi &amp; Bobot'!$E$9*MAX(G273,0.000000001)^'Asumsi &amp; Bobot'!$E$10</f>
        <v>1.8027666686037891</v>
      </c>
      <c r="I273" s="26">
        <f t="shared" si="8"/>
        <v>1.8626114988144131E-3</v>
      </c>
      <c r="J273" s="18">
        <f t="shared" si="9"/>
        <v>244</v>
      </c>
    </row>
    <row r="274" spans="1:10" ht="15" customHeight="1" x14ac:dyDescent="0.35">
      <c r="A274" s="11">
        <v>272</v>
      </c>
      <c r="B274" s="8" t="str">
        <f>Normalisasi!B274</f>
        <v>Director of Marketing</v>
      </c>
      <c r="C274" s="25">
        <f>Normalisasi!H274</f>
        <v>8.1999999999999993</v>
      </c>
      <c r="D274" s="25">
        <f>Normalisasi!I274</f>
        <v>5.5</v>
      </c>
      <c r="E274" s="25">
        <f>Normalisasi!J274</f>
        <v>8.1999999999999993</v>
      </c>
      <c r="F274" s="25">
        <f>Normalisasi!K274</f>
        <v>7.4764670538754254</v>
      </c>
      <c r="G274" s="25">
        <f>Normalisasi!L274</f>
        <v>10</v>
      </c>
      <c r="H274" s="27">
        <f>MAX(C274,0.000000001)^'Asumsi &amp; Bobot'!$E$6*MAX(D274,0.000000001)^'Asumsi &amp; Bobot'!$E$7*MAX(E274,0.000000001)^'Asumsi &amp; Bobot'!$E$8*MAX(F274,0.000000001)^'Asumsi &amp; Bobot'!$E$9*MAX(G274,0.000000001)^'Asumsi &amp; Bobot'!$E$10</f>
        <v>4.3149051013240678</v>
      </c>
      <c r="I274" s="27">
        <f t="shared" si="8"/>
        <v>4.4581431407558067E-3</v>
      </c>
      <c r="J274" s="22">
        <f t="shared" si="9"/>
        <v>49</v>
      </c>
    </row>
    <row r="275" spans="1:10" ht="15" customHeight="1" x14ac:dyDescent="0.35">
      <c r="A275" s="14">
        <v>273</v>
      </c>
      <c r="B275" s="17" t="str">
        <f>Normalisasi!B275</f>
        <v>Junior Business Analyst</v>
      </c>
      <c r="C275" s="21">
        <f>Normalisasi!H275</f>
        <v>3.1</v>
      </c>
      <c r="D275" s="21">
        <f>Normalisasi!I275</f>
        <v>1</v>
      </c>
      <c r="E275" s="21">
        <f>Normalisasi!J275</f>
        <v>1.72</v>
      </c>
      <c r="F275" s="21">
        <f>Normalisasi!K275</f>
        <v>2.4294011616262767</v>
      </c>
      <c r="G275" s="21">
        <f>Normalisasi!L275</f>
        <v>1</v>
      </c>
      <c r="H275" s="26">
        <f>MAX(C275,0.000000001)^'Asumsi &amp; Bobot'!$E$6*MAX(D275,0.000000001)^'Asumsi &amp; Bobot'!$E$7*MAX(E275,0.000000001)^'Asumsi &amp; Bobot'!$E$8*MAX(F275,0.000000001)^'Asumsi &amp; Bobot'!$E$9*MAX(G275,0.000000001)^'Asumsi &amp; Bobot'!$E$10</f>
        <v>1.3346946606105636</v>
      </c>
      <c r="I275" s="26">
        <f t="shared" si="8"/>
        <v>1.3790013236625975E-3</v>
      </c>
      <c r="J275" s="18">
        <f t="shared" si="9"/>
        <v>342</v>
      </c>
    </row>
    <row r="276" spans="1:10" ht="15" customHeight="1" x14ac:dyDescent="0.35">
      <c r="A276" s="11">
        <v>274</v>
      </c>
      <c r="B276" s="8" t="str">
        <f>Normalisasi!B276</f>
        <v>Senior Project Manager</v>
      </c>
      <c r="C276" s="25">
        <f>Normalisasi!H276</f>
        <v>5.5</v>
      </c>
      <c r="D276" s="25">
        <f>Normalisasi!I276</f>
        <v>1</v>
      </c>
      <c r="E276" s="25">
        <f>Normalisasi!J276</f>
        <v>4.24</v>
      </c>
      <c r="F276" s="25">
        <f>Normalisasi!K276</f>
        <v>5.3134388143400759</v>
      </c>
      <c r="G276" s="25">
        <f>Normalisasi!L276</f>
        <v>10</v>
      </c>
      <c r="H276" s="27">
        <f>MAX(C276,0.000000001)^'Asumsi &amp; Bobot'!$E$6*MAX(D276,0.000000001)^'Asumsi &amp; Bobot'!$E$7*MAX(E276,0.000000001)^'Asumsi &amp; Bobot'!$E$8*MAX(F276,0.000000001)^'Asumsi &amp; Bobot'!$E$9*MAX(G276,0.000000001)^'Asumsi &amp; Bobot'!$E$10</f>
        <v>2.1239505385589927</v>
      </c>
      <c r="I276" s="27">
        <f t="shared" si="8"/>
        <v>2.1944574219895973E-3</v>
      </c>
      <c r="J276" s="22">
        <f t="shared" si="9"/>
        <v>198</v>
      </c>
    </row>
    <row r="277" spans="1:10" ht="15" customHeight="1" x14ac:dyDescent="0.35">
      <c r="A277" s="14">
        <v>275</v>
      </c>
      <c r="B277" s="17" t="str">
        <f>Normalisasi!B277</f>
        <v>Senior Data Analyst</v>
      </c>
      <c r="C277" s="21">
        <f>Normalisasi!H277</f>
        <v>7.9</v>
      </c>
      <c r="D277" s="21">
        <f>Normalisasi!I277</f>
        <v>10</v>
      </c>
      <c r="E277" s="21">
        <f>Normalisasi!J277</f>
        <v>7.12</v>
      </c>
      <c r="F277" s="21">
        <f>Normalisasi!K277</f>
        <v>6.7554576406969762</v>
      </c>
      <c r="G277" s="21">
        <f>Normalisasi!L277</f>
        <v>1</v>
      </c>
      <c r="H277" s="26">
        <f>MAX(C277,0.000000001)^'Asumsi &amp; Bobot'!$E$6*MAX(D277,0.000000001)^'Asumsi &amp; Bobot'!$E$7*MAX(E277,0.000000001)^'Asumsi &amp; Bobot'!$E$8*MAX(F277,0.000000001)^'Asumsi &amp; Bobot'!$E$9*MAX(G277,0.000000001)^'Asumsi &amp; Bobot'!$E$10</f>
        <v>4.1661168440026133</v>
      </c>
      <c r="I277" s="26">
        <f t="shared" si="8"/>
        <v>4.3044156929379846E-3</v>
      </c>
      <c r="J277" s="18">
        <f t="shared" si="9"/>
        <v>53</v>
      </c>
    </row>
    <row r="278" spans="1:10" ht="15" customHeight="1" x14ac:dyDescent="0.35">
      <c r="A278" s="11">
        <v>276</v>
      </c>
      <c r="B278" s="8" t="str">
        <f>Normalisasi!B278</f>
        <v>Junior Financial Analyst</v>
      </c>
      <c r="C278" s="25">
        <f>Normalisasi!H278</f>
        <v>4.3</v>
      </c>
      <c r="D278" s="25">
        <f>Normalisasi!I278</f>
        <v>1</v>
      </c>
      <c r="E278" s="25">
        <f>Normalisasi!J278</f>
        <v>2.8</v>
      </c>
      <c r="F278" s="25">
        <f>Normalisasi!K278</f>
        <v>3.5109152813939515</v>
      </c>
      <c r="G278" s="25">
        <f>Normalisasi!L278</f>
        <v>10</v>
      </c>
      <c r="H278" s="27">
        <f>MAX(C278,0.000000001)^'Asumsi &amp; Bobot'!$E$6*MAX(D278,0.000000001)^'Asumsi &amp; Bobot'!$E$7*MAX(E278,0.000000001)^'Asumsi &amp; Bobot'!$E$8*MAX(F278,0.000000001)^'Asumsi &amp; Bobot'!$E$9*MAX(G278,0.000000001)^'Asumsi &amp; Bobot'!$E$10</f>
        <v>1.8607598282966702</v>
      </c>
      <c r="I278" s="27">
        <f t="shared" si="8"/>
        <v>1.9225298054803555E-3</v>
      </c>
      <c r="J278" s="22">
        <f t="shared" si="9"/>
        <v>231</v>
      </c>
    </row>
    <row r="279" spans="1:10" ht="15" customHeight="1" x14ac:dyDescent="0.35">
      <c r="A279" s="14">
        <v>277</v>
      </c>
      <c r="B279" s="17" t="str">
        <f>Normalisasi!B279</f>
        <v>Senior Product Manager</v>
      </c>
      <c r="C279" s="21">
        <f>Normalisasi!H279</f>
        <v>4.9000000000000004</v>
      </c>
      <c r="D279" s="21">
        <f>Normalisasi!I279</f>
        <v>1</v>
      </c>
      <c r="E279" s="21">
        <f>Normalisasi!J279</f>
        <v>3.88</v>
      </c>
      <c r="F279" s="21">
        <f>Normalisasi!K279</f>
        <v>4.4121770478670133</v>
      </c>
      <c r="G279" s="21">
        <f>Normalisasi!L279</f>
        <v>1</v>
      </c>
      <c r="H279" s="26">
        <f>MAX(C279,0.000000001)^'Asumsi &amp; Bobot'!$E$6*MAX(D279,0.000000001)^'Asumsi &amp; Bobot'!$E$7*MAX(E279,0.000000001)^'Asumsi &amp; Bobot'!$E$8*MAX(F279,0.000000001)^'Asumsi &amp; Bobot'!$E$9*MAX(G279,0.000000001)^'Asumsi &amp; Bobot'!$E$10</f>
        <v>1.7715880156307544</v>
      </c>
      <c r="I279" s="26">
        <f t="shared" si="8"/>
        <v>1.8303978360279275E-3</v>
      </c>
      <c r="J279" s="18">
        <f t="shared" si="9"/>
        <v>252</v>
      </c>
    </row>
    <row r="280" spans="1:10" ht="15" customHeight="1" x14ac:dyDescent="0.35">
      <c r="A280" s="11">
        <v>278</v>
      </c>
      <c r="B280" s="8" t="str">
        <f>Normalisasi!B280</f>
        <v>Director of Operations</v>
      </c>
      <c r="C280" s="25">
        <f>Normalisasi!H280</f>
        <v>8.8000000000000007</v>
      </c>
      <c r="D280" s="25">
        <f>Normalisasi!I280</f>
        <v>5.5</v>
      </c>
      <c r="E280" s="25">
        <f>Normalisasi!J280</f>
        <v>8.5599999999999987</v>
      </c>
      <c r="F280" s="25">
        <f>Normalisasi!K280</f>
        <v>7.4764670538754254</v>
      </c>
      <c r="G280" s="25">
        <f>Normalisasi!L280</f>
        <v>10</v>
      </c>
      <c r="H280" s="27">
        <f>MAX(C280,0.000000001)^'Asumsi &amp; Bobot'!$E$6*MAX(D280,0.000000001)^'Asumsi &amp; Bobot'!$E$7*MAX(E280,0.000000001)^'Asumsi &amp; Bobot'!$E$8*MAX(F280,0.000000001)^'Asumsi &amp; Bobot'!$E$9*MAX(G280,0.000000001)^'Asumsi &amp; Bobot'!$E$10</f>
        <v>4.4394072130515561</v>
      </c>
      <c r="I280" s="27">
        <f t="shared" si="8"/>
        <v>4.5867782375594874E-3</v>
      </c>
      <c r="J280" s="22">
        <f t="shared" si="9"/>
        <v>34</v>
      </c>
    </row>
    <row r="281" spans="1:10" ht="15" customHeight="1" x14ac:dyDescent="0.35">
      <c r="A281" s="14">
        <v>279</v>
      </c>
      <c r="B281" s="17" t="str">
        <f>Normalisasi!B281</f>
        <v>Junior Operations Analyst</v>
      </c>
      <c r="C281" s="21">
        <f>Normalisasi!H281</f>
        <v>3.4</v>
      </c>
      <c r="D281" s="21">
        <f>Normalisasi!I281</f>
        <v>1</v>
      </c>
      <c r="E281" s="21">
        <f>Normalisasi!J281</f>
        <v>2.08</v>
      </c>
      <c r="F281" s="21">
        <f>Normalisasi!K281</f>
        <v>2.7899058682155018</v>
      </c>
      <c r="G281" s="21">
        <f>Normalisasi!L281</f>
        <v>1</v>
      </c>
      <c r="H281" s="26">
        <f>MAX(C281,0.000000001)^'Asumsi &amp; Bobot'!$E$6*MAX(D281,0.000000001)^'Asumsi &amp; Bobot'!$E$7*MAX(E281,0.000000001)^'Asumsi &amp; Bobot'!$E$8*MAX(F281,0.000000001)^'Asumsi &amp; Bobot'!$E$9*MAX(G281,0.000000001)^'Asumsi &amp; Bobot'!$E$10</f>
        <v>1.4220175457083859</v>
      </c>
      <c r="I281" s="26">
        <f t="shared" si="8"/>
        <v>1.4692229883546909E-3</v>
      </c>
      <c r="J281" s="18">
        <f t="shared" si="9"/>
        <v>330</v>
      </c>
    </row>
    <row r="282" spans="1:10" ht="15" customHeight="1" x14ac:dyDescent="0.35">
      <c r="A282" s="11">
        <v>280</v>
      </c>
      <c r="B282" s="8" t="str">
        <f>Normalisasi!B282</f>
        <v>Senior Project Coordinator</v>
      </c>
      <c r="C282" s="25">
        <f>Normalisasi!H282</f>
        <v>6.4</v>
      </c>
      <c r="D282" s="25">
        <f>Normalisasi!I282</f>
        <v>1</v>
      </c>
      <c r="E282" s="25">
        <f>Normalisasi!J282</f>
        <v>4.96</v>
      </c>
      <c r="F282" s="25">
        <f>Normalisasi!K282</f>
        <v>4.4121770478670133</v>
      </c>
      <c r="G282" s="25">
        <f>Normalisasi!L282</f>
        <v>10</v>
      </c>
      <c r="H282" s="27">
        <f>MAX(C282,0.000000001)^'Asumsi &amp; Bobot'!$E$6*MAX(D282,0.000000001)^'Asumsi &amp; Bobot'!$E$7*MAX(E282,0.000000001)^'Asumsi &amp; Bobot'!$E$8*MAX(F282,0.000000001)^'Asumsi &amp; Bobot'!$E$9*MAX(G282,0.000000001)^'Asumsi &amp; Bobot'!$E$10</f>
        <v>2.3647006068028134</v>
      </c>
      <c r="I282" s="27">
        <f t="shared" si="8"/>
        <v>2.4431994545891854E-3</v>
      </c>
      <c r="J282" s="22">
        <f t="shared" si="9"/>
        <v>168</v>
      </c>
    </row>
    <row r="283" spans="1:10" ht="15" customHeight="1" x14ac:dyDescent="0.35">
      <c r="A283" s="14">
        <v>281</v>
      </c>
      <c r="B283" s="17" t="str">
        <f>Normalisasi!B283</f>
        <v>Director of Marketing</v>
      </c>
      <c r="C283" s="21">
        <f>Normalisasi!H283</f>
        <v>8.1999999999999993</v>
      </c>
      <c r="D283" s="21">
        <f>Normalisasi!I283</f>
        <v>5.5</v>
      </c>
      <c r="E283" s="21">
        <f>Normalisasi!J283</f>
        <v>7.84</v>
      </c>
      <c r="F283" s="21">
        <f>Normalisasi!K283</f>
        <v>7.1159623472862004</v>
      </c>
      <c r="G283" s="21">
        <f>Normalisasi!L283</f>
        <v>1</v>
      </c>
      <c r="H283" s="26">
        <f>MAX(C283,0.000000001)^'Asumsi &amp; Bobot'!$E$6*MAX(D283,0.000000001)^'Asumsi &amp; Bobot'!$E$7*MAX(E283,0.000000001)^'Asumsi &amp; Bobot'!$E$8*MAX(F283,0.000000001)^'Asumsi &amp; Bobot'!$E$9*MAX(G283,0.000000001)^'Asumsi &amp; Bobot'!$E$10</f>
        <v>3.6700081022801267</v>
      </c>
      <c r="I283" s="26">
        <f t="shared" si="8"/>
        <v>3.7918380737221153E-3</v>
      </c>
      <c r="J283" s="18">
        <f t="shared" si="9"/>
        <v>91</v>
      </c>
    </row>
    <row r="284" spans="1:10" ht="15" customHeight="1" x14ac:dyDescent="0.35">
      <c r="A284" s="11">
        <v>282</v>
      </c>
      <c r="B284" s="8" t="str">
        <f>Normalisasi!B284</f>
        <v>Junior Business Development Associate</v>
      </c>
      <c r="C284" s="25">
        <f>Normalisasi!H284</f>
        <v>2.8</v>
      </c>
      <c r="D284" s="25">
        <f>Normalisasi!I284</f>
        <v>1</v>
      </c>
      <c r="E284" s="25">
        <f>Normalisasi!J284</f>
        <v>1.54</v>
      </c>
      <c r="F284" s="25">
        <f>Normalisasi!K284</f>
        <v>2.2491488083316646</v>
      </c>
      <c r="G284" s="25">
        <f>Normalisasi!L284</f>
        <v>10</v>
      </c>
      <c r="H284" s="27">
        <f>MAX(C284,0.000000001)^'Asumsi &amp; Bobot'!$E$6*MAX(D284,0.000000001)^'Asumsi &amp; Bobot'!$E$7*MAX(E284,0.000000001)^'Asumsi &amp; Bobot'!$E$8*MAX(F284,0.000000001)^'Asumsi &amp; Bobot'!$E$9*MAX(G284,0.000000001)^'Asumsi &amp; Bobot'!$E$10</f>
        <v>1.4848049994739896</v>
      </c>
      <c r="I284" s="27">
        <f t="shared" si="8"/>
        <v>1.5340947409790428E-3</v>
      </c>
      <c r="J284" s="22">
        <f t="shared" si="9"/>
        <v>323</v>
      </c>
    </row>
    <row r="285" spans="1:10" ht="15" customHeight="1" x14ac:dyDescent="0.35">
      <c r="A285" s="14">
        <v>283</v>
      </c>
      <c r="B285" s="17" t="str">
        <f>Normalisasi!B285</f>
        <v>Senior Financial Manager</v>
      </c>
      <c r="C285" s="21">
        <f>Normalisasi!H285</f>
        <v>4.5999999999999996</v>
      </c>
      <c r="D285" s="21">
        <f>Normalisasi!I285</f>
        <v>1</v>
      </c>
      <c r="E285" s="21">
        <f>Normalisasi!J285</f>
        <v>4.24</v>
      </c>
      <c r="F285" s="21">
        <f>Normalisasi!K285</f>
        <v>4.5924294011616258</v>
      </c>
      <c r="G285" s="21">
        <f>Normalisasi!L285</f>
        <v>1</v>
      </c>
      <c r="H285" s="26">
        <f>MAX(C285,0.000000001)^'Asumsi &amp; Bobot'!$E$6*MAX(D285,0.000000001)^'Asumsi &amp; Bobot'!$E$7*MAX(E285,0.000000001)^'Asumsi &amp; Bobot'!$E$8*MAX(F285,0.000000001)^'Asumsi &amp; Bobot'!$E$9*MAX(G285,0.000000001)^'Asumsi &amp; Bobot'!$E$10</f>
        <v>1.7922607200455571</v>
      </c>
      <c r="I285" s="26">
        <f t="shared" si="8"/>
        <v>1.8517567936929395E-3</v>
      </c>
      <c r="J285" s="18">
        <f t="shared" si="9"/>
        <v>249</v>
      </c>
    </row>
    <row r="286" spans="1:10" ht="15" customHeight="1" x14ac:dyDescent="0.35">
      <c r="A286" s="11">
        <v>284</v>
      </c>
      <c r="B286" s="8" t="str">
        <f>Normalisasi!B286</f>
        <v>Senior Product Designer</v>
      </c>
      <c r="C286" s="25">
        <f>Normalisasi!H286</f>
        <v>7.3</v>
      </c>
      <c r="D286" s="25">
        <f>Normalisasi!I286</f>
        <v>10</v>
      </c>
      <c r="E286" s="25">
        <f>Normalisasi!J286</f>
        <v>6.4</v>
      </c>
      <c r="F286" s="25">
        <f>Normalisasi!K286</f>
        <v>6.3949529341077511</v>
      </c>
      <c r="G286" s="25">
        <f>Normalisasi!L286</f>
        <v>10</v>
      </c>
      <c r="H286" s="27">
        <f>MAX(C286,0.000000001)^'Asumsi &amp; Bobot'!$E$6*MAX(D286,0.000000001)^'Asumsi &amp; Bobot'!$E$7*MAX(E286,0.000000001)^'Asumsi &amp; Bobot'!$E$8*MAX(F286,0.000000001)^'Asumsi &amp; Bobot'!$E$9*MAX(G286,0.000000001)^'Asumsi &amp; Bobot'!$E$10</f>
        <v>4.64814409568746</v>
      </c>
      <c r="I286" s="27">
        <f t="shared" si="8"/>
        <v>4.8024443715053875E-3</v>
      </c>
      <c r="J286" s="22">
        <f t="shared" si="9"/>
        <v>21</v>
      </c>
    </row>
    <row r="287" spans="1:10" ht="15" customHeight="1" x14ac:dyDescent="0.35">
      <c r="A287" s="14">
        <v>285</v>
      </c>
      <c r="B287" s="17" t="str">
        <f>Normalisasi!B287</f>
        <v>Junior Business Analyst</v>
      </c>
      <c r="C287" s="21">
        <f>Normalisasi!H287</f>
        <v>4</v>
      </c>
      <c r="D287" s="21">
        <f>Normalisasi!I287</f>
        <v>1</v>
      </c>
      <c r="E287" s="21">
        <f>Normalisasi!J287</f>
        <v>2.44</v>
      </c>
      <c r="F287" s="21">
        <f>Normalisasi!K287</f>
        <v>3.1504105748047264</v>
      </c>
      <c r="G287" s="21">
        <f>Normalisasi!L287</f>
        <v>1</v>
      </c>
      <c r="H287" s="26">
        <f>MAX(C287,0.000000001)^'Asumsi &amp; Bobot'!$E$6*MAX(D287,0.000000001)^'Asumsi &amp; Bobot'!$E$7*MAX(E287,0.000000001)^'Asumsi &amp; Bobot'!$E$8*MAX(F287,0.000000001)^'Asumsi &amp; Bobot'!$E$9*MAX(G287,0.000000001)^'Asumsi &amp; Bobot'!$E$10</f>
        <v>1.5243791014849373</v>
      </c>
      <c r="I287" s="26">
        <f t="shared" si="8"/>
        <v>1.5749825490046559E-3</v>
      </c>
      <c r="J287" s="18">
        <f t="shared" si="9"/>
        <v>309</v>
      </c>
    </row>
    <row r="288" spans="1:10" ht="15" customHeight="1" x14ac:dyDescent="0.35">
      <c r="A288" s="11">
        <v>286</v>
      </c>
      <c r="B288" s="8" t="str">
        <f>Normalisasi!B288</f>
        <v>Senior Marketing Analyst</v>
      </c>
      <c r="C288" s="25">
        <f>Normalisasi!H288</f>
        <v>4.5999999999999996</v>
      </c>
      <c r="D288" s="25">
        <f>Normalisasi!I288</f>
        <v>1</v>
      </c>
      <c r="E288" s="25">
        <f>Normalisasi!J288</f>
        <v>3.88</v>
      </c>
      <c r="F288" s="25">
        <f>Normalisasi!K288</f>
        <v>4.0516723412777891</v>
      </c>
      <c r="G288" s="25">
        <f>Normalisasi!L288</f>
        <v>10</v>
      </c>
      <c r="H288" s="27">
        <f>MAX(C288,0.000000001)^'Asumsi &amp; Bobot'!$E$6*MAX(D288,0.000000001)^'Asumsi &amp; Bobot'!$E$7*MAX(E288,0.000000001)^'Asumsi &amp; Bobot'!$E$8*MAX(F288,0.000000001)^'Asumsi &amp; Bobot'!$E$9*MAX(G288,0.000000001)^'Asumsi &amp; Bobot'!$E$10</f>
        <v>2.0628971030138525</v>
      </c>
      <c r="I288" s="27">
        <f t="shared" si="8"/>
        <v>2.1313772502352703E-3</v>
      </c>
      <c r="J288" s="22">
        <f t="shared" si="9"/>
        <v>212</v>
      </c>
    </row>
    <row r="289" spans="1:10" ht="15" customHeight="1" x14ac:dyDescent="0.35">
      <c r="A289" s="14">
        <v>287</v>
      </c>
      <c r="B289" s="17" t="str">
        <f>Normalisasi!B289</f>
        <v>Senior Software Engineer</v>
      </c>
      <c r="C289" s="21">
        <f>Normalisasi!H289</f>
        <v>7.3</v>
      </c>
      <c r="D289" s="21">
        <f>Normalisasi!I289</f>
        <v>1</v>
      </c>
      <c r="E289" s="21">
        <f>Normalisasi!J289</f>
        <v>5.68</v>
      </c>
      <c r="F289" s="21">
        <f>Normalisasi!K289</f>
        <v>5.673943520929301</v>
      </c>
      <c r="G289" s="21">
        <f>Normalisasi!L289</f>
        <v>1</v>
      </c>
      <c r="H289" s="26">
        <f>MAX(C289,0.000000001)^'Asumsi &amp; Bobot'!$E$6*MAX(D289,0.000000001)^'Asumsi &amp; Bobot'!$E$7*MAX(E289,0.000000001)^'Asumsi &amp; Bobot'!$E$8*MAX(F289,0.000000001)^'Asumsi &amp; Bobot'!$E$9*MAX(G289,0.000000001)^'Asumsi &amp; Bobot'!$E$10</f>
        <v>2.1066676007798093</v>
      </c>
      <c r="I289" s="26">
        <f t="shared" si="8"/>
        <v>2.1766007580067133E-3</v>
      </c>
      <c r="J289" s="18">
        <f t="shared" si="9"/>
        <v>201</v>
      </c>
    </row>
    <row r="290" spans="1:10" ht="15" customHeight="1" x14ac:dyDescent="0.35">
      <c r="A290" s="11">
        <v>288</v>
      </c>
      <c r="B290" s="8" t="str">
        <f>Normalisasi!B290</f>
        <v>Junior Product Manager</v>
      </c>
      <c r="C290" s="25">
        <f>Normalisasi!H290</f>
        <v>3.7</v>
      </c>
      <c r="D290" s="25">
        <f>Normalisasi!I290</f>
        <v>1</v>
      </c>
      <c r="E290" s="25">
        <f>Normalisasi!J290</f>
        <v>2.44</v>
      </c>
      <c r="F290" s="25">
        <f>Normalisasi!K290</f>
        <v>3.3306629280993389</v>
      </c>
      <c r="G290" s="25">
        <f>Normalisasi!L290</f>
        <v>1</v>
      </c>
      <c r="H290" s="27">
        <f>MAX(C290,0.000000001)^'Asumsi &amp; Bobot'!$E$6*MAX(D290,0.000000001)^'Asumsi &amp; Bobot'!$E$7*MAX(E290,0.000000001)^'Asumsi &amp; Bobot'!$E$8*MAX(F290,0.000000001)^'Asumsi &amp; Bobot'!$E$9*MAX(G290,0.000000001)^'Asumsi &amp; Bobot'!$E$10</f>
        <v>1.4897024402350967</v>
      </c>
      <c r="I290" s="27">
        <f t="shared" si="8"/>
        <v>1.539154757694054E-3</v>
      </c>
      <c r="J290" s="22">
        <f t="shared" si="9"/>
        <v>321</v>
      </c>
    </row>
    <row r="291" spans="1:10" ht="15" customHeight="1" x14ac:dyDescent="0.35">
      <c r="A291" s="14">
        <v>289</v>
      </c>
      <c r="B291" s="17" t="str">
        <f>Normalisasi!B291</f>
        <v>Senior Business Analyst</v>
      </c>
      <c r="C291" s="21">
        <f>Normalisasi!H291</f>
        <v>5.5</v>
      </c>
      <c r="D291" s="21">
        <f>Normalisasi!I291</f>
        <v>1</v>
      </c>
      <c r="E291" s="21">
        <f>Normalisasi!J291</f>
        <v>4.5999999999999996</v>
      </c>
      <c r="F291" s="21">
        <f>Normalisasi!K291</f>
        <v>4.9529341077508509</v>
      </c>
      <c r="G291" s="21">
        <f>Normalisasi!L291</f>
        <v>10</v>
      </c>
      <c r="H291" s="26">
        <f>MAX(C291,0.000000001)^'Asumsi &amp; Bobot'!$E$6*MAX(D291,0.000000001)^'Asumsi &amp; Bobot'!$E$7*MAX(E291,0.000000001)^'Asumsi &amp; Bobot'!$E$8*MAX(F291,0.000000001)^'Asumsi &amp; Bobot'!$E$9*MAX(G291,0.000000001)^'Asumsi &amp; Bobot'!$E$10</f>
        <v>2.2029779069363458</v>
      </c>
      <c r="I291" s="26">
        <f t="shared" si="8"/>
        <v>2.2761081911236315E-3</v>
      </c>
      <c r="J291" s="18">
        <f t="shared" si="9"/>
        <v>182</v>
      </c>
    </row>
    <row r="292" spans="1:10" ht="15" customHeight="1" x14ac:dyDescent="0.35">
      <c r="A292" s="11">
        <v>290</v>
      </c>
      <c r="B292" s="8" t="str">
        <f>Normalisasi!B292</f>
        <v>Director of Operations</v>
      </c>
      <c r="C292" s="25">
        <f>Normalisasi!H292</f>
        <v>8.8000000000000007</v>
      </c>
      <c r="D292" s="25">
        <f>Normalisasi!I292</f>
        <v>10</v>
      </c>
      <c r="E292" s="25">
        <f>Normalisasi!J292</f>
        <v>8.5599999999999987</v>
      </c>
      <c r="F292" s="25">
        <f>Normalisasi!K292</f>
        <v>7.4764670538754254</v>
      </c>
      <c r="G292" s="25">
        <f>Normalisasi!L292</f>
        <v>1</v>
      </c>
      <c r="H292" s="27">
        <f>MAX(C292,0.000000001)^'Asumsi &amp; Bobot'!$E$6*MAX(D292,0.000000001)^'Asumsi &amp; Bobot'!$E$7*MAX(E292,0.000000001)^'Asumsi &amp; Bobot'!$E$8*MAX(F292,0.000000001)^'Asumsi &amp; Bobot'!$E$9*MAX(G292,0.000000001)^'Asumsi &amp; Bobot'!$E$10</f>
        <v>4.4657554077818107</v>
      </c>
      <c r="I292" s="27">
        <f t="shared" si="8"/>
        <v>4.6140010897079472E-3</v>
      </c>
      <c r="J292" s="22">
        <f t="shared" si="9"/>
        <v>33</v>
      </c>
    </row>
    <row r="293" spans="1:10" ht="15" customHeight="1" x14ac:dyDescent="0.35">
      <c r="A293" s="14">
        <v>291</v>
      </c>
      <c r="B293" s="17" t="str">
        <f>Normalisasi!B293</f>
        <v>Junior Marketing Specialist</v>
      </c>
      <c r="C293" s="21">
        <f>Normalisasi!H293</f>
        <v>2.8</v>
      </c>
      <c r="D293" s="21">
        <f>Normalisasi!I293</f>
        <v>1</v>
      </c>
      <c r="E293" s="21">
        <f>Normalisasi!J293</f>
        <v>1.72</v>
      </c>
      <c r="F293" s="21">
        <f>Normalisasi!K293</f>
        <v>2.4294011616262767</v>
      </c>
      <c r="G293" s="21">
        <f>Normalisasi!L293</f>
        <v>10</v>
      </c>
      <c r="H293" s="26">
        <f>MAX(C293,0.000000001)^'Asumsi &amp; Bobot'!$E$6*MAX(D293,0.000000001)^'Asumsi &amp; Bobot'!$E$7*MAX(E293,0.000000001)^'Asumsi &amp; Bobot'!$E$8*MAX(F293,0.000000001)^'Asumsi &amp; Bobot'!$E$9*MAX(G293,0.000000001)^'Asumsi &amp; Bobot'!$E$10</f>
        <v>1.5247823537972869</v>
      </c>
      <c r="I293" s="26">
        <f t="shared" si="8"/>
        <v>1.5753991877227921E-3</v>
      </c>
      <c r="J293" s="18">
        <f t="shared" si="9"/>
        <v>302</v>
      </c>
    </row>
    <row r="294" spans="1:10" ht="15" customHeight="1" x14ac:dyDescent="0.35">
      <c r="A294" s="11">
        <v>292</v>
      </c>
      <c r="B294" s="8" t="str">
        <f>Normalisasi!B294</f>
        <v>Senior Business Development Manager</v>
      </c>
      <c r="C294" s="25">
        <f>Normalisasi!H294</f>
        <v>4.5999999999999996</v>
      </c>
      <c r="D294" s="25">
        <f>Normalisasi!I294</f>
        <v>1</v>
      </c>
      <c r="E294" s="25">
        <f>Normalisasi!J294</f>
        <v>3.52</v>
      </c>
      <c r="F294" s="25">
        <f>Normalisasi!K294</f>
        <v>4.2319246945724007</v>
      </c>
      <c r="G294" s="25">
        <f>Normalisasi!L294</f>
        <v>1</v>
      </c>
      <c r="H294" s="27">
        <f>MAX(C294,0.000000001)^'Asumsi &amp; Bobot'!$E$6*MAX(D294,0.000000001)^'Asumsi &amp; Bobot'!$E$7*MAX(E294,0.000000001)^'Asumsi &amp; Bobot'!$E$8*MAX(F294,0.000000001)^'Asumsi &amp; Bobot'!$E$9*MAX(G294,0.000000001)^'Asumsi &amp; Bobot'!$E$10</f>
        <v>1.7029192834717601</v>
      </c>
      <c r="I294" s="27">
        <f t="shared" si="8"/>
        <v>1.7594495694797066E-3</v>
      </c>
      <c r="J294" s="22">
        <f t="shared" si="9"/>
        <v>268</v>
      </c>
    </row>
    <row r="295" spans="1:10" ht="15" customHeight="1" x14ac:dyDescent="0.35">
      <c r="A295" s="14">
        <v>293</v>
      </c>
      <c r="B295" s="17" t="str">
        <f>Normalisasi!B295</f>
        <v>Senior HR Manager</v>
      </c>
      <c r="C295" s="21">
        <f>Normalisasi!H295</f>
        <v>7.6</v>
      </c>
      <c r="D295" s="21">
        <f>Normalisasi!I295</f>
        <v>5.5</v>
      </c>
      <c r="E295" s="21">
        <f>Normalisasi!J295</f>
        <v>6.04</v>
      </c>
      <c r="F295" s="21">
        <f>Normalisasi!K295</f>
        <v>6.0344482275185261</v>
      </c>
      <c r="G295" s="21">
        <f>Normalisasi!L295</f>
        <v>10</v>
      </c>
      <c r="H295" s="26">
        <f>MAX(C295,0.000000001)^'Asumsi &amp; Bobot'!$E$6*MAX(D295,0.000000001)^'Asumsi &amp; Bobot'!$E$7*MAX(E295,0.000000001)^'Asumsi &amp; Bobot'!$E$8*MAX(F295,0.000000001)^'Asumsi &amp; Bobot'!$E$9*MAX(G295,0.000000001)^'Asumsi &amp; Bobot'!$E$10</f>
        <v>3.9492995260920307</v>
      </c>
      <c r="I295" s="26">
        <f t="shared" si="8"/>
        <v>4.0804008847459047E-3</v>
      </c>
      <c r="J295" s="18">
        <f t="shared" si="9"/>
        <v>69</v>
      </c>
    </row>
    <row r="296" spans="1:10" ht="15" customHeight="1" x14ac:dyDescent="0.35">
      <c r="A296" s="11">
        <v>294</v>
      </c>
      <c r="B296" s="8" t="str">
        <f>Normalisasi!B296</f>
        <v>Junior Financial Analyst</v>
      </c>
      <c r="C296" s="25">
        <f>Normalisasi!H296</f>
        <v>4</v>
      </c>
      <c r="D296" s="25">
        <f>Normalisasi!I296</f>
        <v>1</v>
      </c>
      <c r="E296" s="25">
        <f>Normalisasi!J296</f>
        <v>2.44</v>
      </c>
      <c r="F296" s="25">
        <f>Normalisasi!K296</f>
        <v>3.1504105748047264</v>
      </c>
      <c r="G296" s="25">
        <f>Normalisasi!L296</f>
        <v>1</v>
      </c>
      <c r="H296" s="27">
        <f>MAX(C296,0.000000001)^'Asumsi &amp; Bobot'!$E$6*MAX(D296,0.000000001)^'Asumsi &amp; Bobot'!$E$7*MAX(E296,0.000000001)^'Asumsi &amp; Bobot'!$E$8*MAX(F296,0.000000001)^'Asumsi &amp; Bobot'!$E$9*MAX(G296,0.000000001)^'Asumsi &amp; Bobot'!$E$10</f>
        <v>1.5243791014849373</v>
      </c>
      <c r="I296" s="27">
        <f t="shared" si="8"/>
        <v>1.5749825490046559E-3</v>
      </c>
      <c r="J296" s="22">
        <f t="shared" si="9"/>
        <v>309</v>
      </c>
    </row>
    <row r="297" spans="1:10" ht="15" customHeight="1" x14ac:dyDescent="0.35">
      <c r="A297" s="14">
        <v>295</v>
      </c>
      <c r="B297" s="17" t="str">
        <f>Normalisasi!B297</f>
        <v>Senior Marketing Manager</v>
      </c>
      <c r="C297" s="21">
        <f>Normalisasi!H297</f>
        <v>6.1</v>
      </c>
      <c r="D297" s="21">
        <f>Normalisasi!I297</f>
        <v>1</v>
      </c>
      <c r="E297" s="21">
        <f>Normalisasi!J297</f>
        <v>5.32</v>
      </c>
      <c r="F297" s="21">
        <f>Normalisasi!K297</f>
        <v>5.673943520929301</v>
      </c>
      <c r="G297" s="21">
        <f>Normalisasi!L297</f>
        <v>10</v>
      </c>
      <c r="H297" s="26">
        <f>MAX(C297,0.000000001)^'Asumsi &amp; Bobot'!$E$6*MAX(D297,0.000000001)^'Asumsi &amp; Bobot'!$E$7*MAX(E297,0.000000001)^'Asumsi &amp; Bobot'!$E$8*MAX(F297,0.000000001)^'Asumsi &amp; Bobot'!$E$9*MAX(G297,0.000000001)^'Asumsi &amp; Bobot'!$E$10</f>
        <v>2.3183829628964099</v>
      </c>
      <c r="I297" s="26">
        <f t="shared" si="8"/>
        <v>2.3953442453485607E-3</v>
      </c>
      <c r="J297" s="18">
        <f t="shared" si="9"/>
        <v>172</v>
      </c>
    </row>
    <row r="298" spans="1:10" ht="15" customHeight="1" x14ac:dyDescent="0.35">
      <c r="A298" s="11">
        <v>296</v>
      </c>
      <c r="B298" s="8" t="str">
        <f>Normalisasi!B298</f>
        <v>Senior Data Scientist</v>
      </c>
      <c r="C298" s="25">
        <f>Normalisasi!H298</f>
        <v>7.3</v>
      </c>
      <c r="D298" s="25">
        <f>Normalisasi!I298</f>
        <v>10</v>
      </c>
      <c r="E298" s="25">
        <f>Normalisasi!J298</f>
        <v>6.76</v>
      </c>
      <c r="F298" s="25">
        <f>Normalisasi!K298</f>
        <v>6.7554576406969762</v>
      </c>
      <c r="G298" s="25">
        <f>Normalisasi!L298</f>
        <v>1</v>
      </c>
      <c r="H298" s="27">
        <f>MAX(C298,0.000000001)^'Asumsi &amp; Bobot'!$E$6*MAX(D298,0.000000001)^'Asumsi &amp; Bobot'!$E$7*MAX(E298,0.000000001)^'Asumsi &amp; Bobot'!$E$8*MAX(F298,0.000000001)^'Asumsi &amp; Bobot'!$E$9*MAX(G298,0.000000001)^'Asumsi &amp; Bobot'!$E$10</f>
        <v>4.0305053378581812</v>
      </c>
      <c r="I298" s="27">
        <f t="shared" si="8"/>
        <v>4.1643024131025035E-3</v>
      </c>
      <c r="J298" s="22">
        <f t="shared" si="9"/>
        <v>61</v>
      </c>
    </row>
    <row r="299" spans="1:10" ht="15" customHeight="1" x14ac:dyDescent="0.35">
      <c r="A299" s="14">
        <v>297</v>
      </c>
      <c r="B299" s="17" t="str">
        <f>Normalisasi!B299</f>
        <v>Junior Operations Coordinator</v>
      </c>
      <c r="C299" s="21">
        <f>Normalisasi!H299</f>
        <v>3.1</v>
      </c>
      <c r="D299" s="21">
        <f>Normalisasi!I299</f>
        <v>1</v>
      </c>
      <c r="E299" s="21">
        <f>Normalisasi!J299</f>
        <v>1.72</v>
      </c>
      <c r="F299" s="21">
        <f>Normalisasi!K299</f>
        <v>2.4294011616262767</v>
      </c>
      <c r="G299" s="21">
        <f>Normalisasi!L299</f>
        <v>10</v>
      </c>
      <c r="H299" s="26">
        <f>MAX(C299,0.000000001)^'Asumsi &amp; Bobot'!$E$6*MAX(D299,0.000000001)^'Asumsi &amp; Bobot'!$E$7*MAX(E299,0.000000001)^'Asumsi &amp; Bobot'!$E$8*MAX(F299,0.000000001)^'Asumsi &amp; Bobot'!$E$9*MAX(G299,0.000000001)^'Asumsi &amp; Bobot'!$E$10</f>
        <v>1.556139725983684</v>
      </c>
      <c r="I299" s="26">
        <f t="shared" si="8"/>
        <v>1.6077975025042726E-3</v>
      </c>
      <c r="J299" s="18">
        <f t="shared" si="9"/>
        <v>297</v>
      </c>
    </row>
    <row r="300" spans="1:10" ht="15" customHeight="1" x14ac:dyDescent="0.35">
      <c r="A300" s="11">
        <v>298</v>
      </c>
      <c r="B300" s="8" t="str">
        <f>Normalisasi!B300</f>
        <v>Senior Marketing Analyst</v>
      </c>
      <c r="C300" s="25">
        <f>Normalisasi!H300</f>
        <v>5.2</v>
      </c>
      <c r="D300" s="25">
        <f>Normalisasi!I300</f>
        <v>1</v>
      </c>
      <c r="E300" s="25">
        <f>Normalisasi!J300</f>
        <v>4.24</v>
      </c>
      <c r="F300" s="25">
        <f>Normalisasi!K300</f>
        <v>4.5924294011616258</v>
      </c>
      <c r="G300" s="25">
        <f>Normalisasi!L300</f>
        <v>1</v>
      </c>
      <c r="H300" s="27">
        <f>MAX(C300,0.000000001)^'Asumsi &amp; Bobot'!$E$6*MAX(D300,0.000000001)^'Asumsi &amp; Bobot'!$E$7*MAX(E300,0.000000001)^'Asumsi &amp; Bobot'!$E$8*MAX(F300,0.000000001)^'Asumsi &amp; Bobot'!$E$9*MAX(G300,0.000000001)^'Asumsi &amp; Bobot'!$E$10</f>
        <v>1.8367510174991752</v>
      </c>
      <c r="I300" s="27">
        <f t="shared" si="8"/>
        <v>1.8977239956974909E-3</v>
      </c>
      <c r="J300" s="22">
        <f t="shared" si="9"/>
        <v>237</v>
      </c>
    </row>
    <row r="301" spans="1:10" ht="15" customHeight="1" x14ac:dyDescent="0.35">
      <c r="A301" s="14">
        <v>299</v>
      </c>
      <c r="B301" s="17" t="str">
        <f>Normalisasi!B301</f>
        <v>Director of HR</v>
      </c>
      <c r="C301" s="21">
        <f>Normalisasi!H301</f>
        <v>8.5</v>
      </c>
      <c r="D301" s="21">
        <f>Normalisasi!I301</f>
        <v>5.5</v>
      </c>
      <c r="E301" s="21">
        <f>Normalisasi!J301</f>
        <v>8.1999999999999993</v>
      </c>
      <c r="F301" s="21">
        <f>Normalisasi!K301</f>
        <v>7.4764670538754254</v>
      </c>
      <c r="G301" s="21">
        <f>Normalisasi!L301</f>
        <v>10</v>
      </c>
      <c r="H301" s="26">
        <f>MAX(C301,0.000000001)^'Asumsi &amp; Bobot'!$E$6*MAX(D301,0.000000001)^'Asumsi &amp; Bobot'!$E$7*MAX(E301,0.000000001)^'Asumsi &amp; Bobot'!$E$8*MAX(F301,0.000000001)^'Asumsi &amp; Bobot'!$E$9*MAX(G301,0.000000001)^'Asumsi &amp; Bobot'!$E$10</f>
        <v>4.3460254309709665</v>
      </c>
      <c r="I301" s="26">
        <f t="shared" si="8"/>
        <v>4.4902965441089441E-3</v>
      </c>
      <c r="J301" s="18">
        <f t="shared" si="9"/>
        <v>43</v>
      </c>
    </row>
    <row r="302" spans="1:10" ht="15" customHeight="1" x14ac:dyDescent="0.35">
      <c r="A302" s="11">
        <v>300</v>
      </c>
      <c r="B302" s="8" t="str">
        <f>Normalisasi!B302</f>
        <v>Junior Project Manager</v>
      </c>
      <c r="C302" s="25">
        <f>Normalisasi!H302</f>
        <v>3.4</v>
      </c>
      <c r="D302" s="25">
        <f>Normalisasi!I302</f>
        <v>1</v>
      </c>
      <c r="E302" s="25">
        <f>Normalisasi!J302</f>
        <v>2.08</v>
      </c>
      <c r="F302" s="25">
        <f>Normalisasi!K302</f>
        <v>2.9701582215101139</v>
      </c>
      <c r="G302" s="25">
        <f>Normalisasi!L302</f>
        <v>1</v>
      </c>
      <c r="H302" s="27">
        <f>MAX(C302,0.000000001)^'Asumsi &amp; Bobot'!$E$6*MAX(D302,0.000000001)^'Asumsi &amp; Bobot'!$E$7*MAX(E302,0.000000001)^'Asumsi &amp; Bobot'!$E$8*MAX(F302,0.000000001)^'Asumsi &amp; Bobot'!$E$9*MAX(G302,0.000000001)^'Asumsi &amp; Bobot'!$E$10</f>
        <v>1.4101964500260002</v>
      </c>
      <c r="I302" s="27">
        <f t="shared" si="8"/>
        <v>1.457009478348069E-3</v>
      </c>
      <c r="J302" s="22">
        <f t="shared" si="9"/>
        <v>334</v>
      </c>
    </row>
    <row r="303" spans="1:10" ht="15" customHeight="1" x14ac:dyDescent="0.35">
      <c r="A303" s="14">
        <v>301</v>
      </c>
      <c r="B303" s="17" t="str">
        <f>Normalisasi!B303</f>
        <v>Senior Operations Coordinator</v>
      </c>
      <c r="C303" s="21">
        <f>Normalisasi!H303</f>
        <v>5.5</v>
      </c>
      <c r="D303" s="21">
        <f>Normalisasi!I303</f>
        <v>1</v>
      </c>
      <c r="E303" s="21">
        <f>Normalisasi!J303</f>
        <v>4.24</v>
      </c>
      <c r="F303" s="21">
        <f>Normalisasi!K303</f>
        <v>5.3134388143400759</v>
      </c>
      <c r="G303" s="21">
        <f>Normalisasi!L303</f>
        <v>10</v>
      </c>
      <c r="H303" s="26">
        <f>MAX(C303,0.000000001)^'Asumsi &amp; Bobot'!$E$6*MAX(D303,0.000000001)^'Asumsi &amp; Bobot'!$E$7*MAX(E303,0.000000001)^'Asumsi &amp; Bobot'!$E$8*MAX(F303,0.000000001)^'Asumsi &amp; Bobot'!$E$9*MAX(G303,0.000000001)^'Asumsi &amp; Bobot'!$E$10</f>
        <v>2.1239505385589927</v>
      </c>
      <c r="I303" s="26">
        <f t="shared" si="8"/>
        <v>2.1944574219895973E-3</v>
      </c>
      <c r="J303" s="18">
        <f t="shared" si="9"/>
        <v>198</v>
      </c>
    </row>
    <row r="304" spans="1:10" ht="15" customHeight="1" x14ac:dyDescent="0.35">
      <c r="A304" s="11">
        <v>302</v>
      </c>
      <c r="B304" s="8" t="str">
        <f>Normalisasi!B304</f>
        <v>Senior Data Engineer</v>
      </c>
      <c r="C304" s="25">
        <f>Normalisasi!H304</f>
        <v>7.6</v>
      </c>
      <c r="D304" s="25">
        <f>Normalisasi!I304</f>
        <v>10</v>
      </c>
      <c r="E304" s="25">
        <f>Normalisasi!J304</f>
        <v>6.76</v>
      </c>
      <c r="F304" s="25">
        <f>Normalisasi!K304</f>
        <v>6.3949529341077511</v>
      </c>
      <c r="G304" s="25">
        <f>Normalisasi!L304</f>
        <v>1</v>
      </c>
      <c r="H304" s="27">
        <f>MAX(C304,0.000000001)^'Asumsi &amp; Bobot'!$E$6*MAX(D304,0.000000001)^'Asumsi &amp; Bobot'!$E$7*MAX(E304,0.000000001)^'Asumsi &amp; Bobot'!$E$8*MAX(F304,0.000000001)^'Asumsi &amp; Bobot'!$E$9*MAX(G304,0.000000001)^'Asumsi &amp; Bobot'!$E$10</f>
        <v>4.0929204467848725</v>
      </c>
      <c r="I304" s="27">
        <f t="shared" si="8"/>
        <v>4.2287894604898651E-3</v>
      </c>
      <c r="J304" s="22">
        <f t="shared" si="9"/>
        <v>57</v>
      </c>
    </row>
    <row r="305" spans="1:10" ht="15" customHeight="1" x14ac:dyDescent="0.35">
      <c r="A305" s="14">
        <v>303</v>
      </c>
      <c r="B305" s="17" t="str">
        <f>Normalisasi!B305</f>
        <v>Junior Marketing Manager</v>
      </c>
      <c r="C305" s="21">
        <f>Normalisasi!H305</f>
        <v>4</v>
      </c>
      <c r="D305" s="21">
        <f>Normalisasi!I305</f>
        <v>1</v>
      </c>
      <c r="E305" s="21">
        <f>Normalisasi!J305</f>
        <v>2.8</v>
      </c>
      <c r="F305" s="21">
        <f>Normalisasi!K305</f>
        <v>3.5109152813939515</v>
      </c>
      <c r="G305" s="21">
        <f>Normalisasi!L305</f>
        <v>10</v>
      </c>
      <c r="H305" s="26">
        <f>MAX(C305,0.000000001)^'Asumsi &amp; Bobot'!$E$6*MAX(D305,0.000000001)^'Asumsi &amp; Bobot'!$E$7*MAX(E305,0.000000001)^'Asumsi &amp; Bobot'!$E$8*MAX(F305,0.000000001)^'Asumsi &amp; Bobot'!$E$9*MAX(G305,0.000000001)^'Asumsi &amp; Bobot'!$E$10</f>
        <v>1.8340392626820041</v>
      </c>
      <c r="I305" s="26">
        <f t="shared" si="8"/>
        <v>1.8949222211847969E-3</v>
      </c>
      <c r="J305" s="18">
        <f t="shared" si="9"/>
        <v>238</v>
      </c>
    </row>
    <row r="306" spans="1:10" ht="15" customHeight="1" x14ac:dyDescent="0.35">
      <c r="A306" s="11">
        <v>304</v>
      </c>
      <c r="B306" s="8" t="str">
        <f>Normalisasi!B306</f>
        <v>Senior Business Analyst</v>
      </c>
      <c r="C306" s="25">
        <f>Normalisasi!H306</f>
        <v>4.9000000000000004</v>
      </c>
      <c r="D306" s="25">
        <f>Normalisasi!I306</f>
        <v>1</v>
      </c>
      <c r="E306" s="25">
        <f>Normalisasi!J306</f>
        <v>3.88</v>
      </c>
      <c r="F306" s="25">
        <f>Normalisasi!K306</f>
        <v>4.4121770478670133</v>
      </c>
      <c r="G306" s="25">
        <f>Normalisasi!L306</f>
        <v>1</v>
      </c>
      <c r="H306" s="27">
        <f>MAX(C306,0.000000001)^'Asumsi &amp; Bobot'!$E$6*MAX(D306,0.000000001)^'Asumsi &amp; Bobot'!$E$7*MAX(E306,0.000000001)^'Asumsi &amp; Bobot'!$E$8*MAX(F306,0.000000001)^'Asumsi &amp; Bobot'!$E$9*MAX(G306,0.000000001)^'Asumsi &amp; Bobot'!$E$10</f>
        <v>1.7715880156307544</v>
      </c>
      <c r="I306" s="27">
        <f t="shared" si="8"/>
        <v>1.8303978360279275E-3</v>
      </c>
      <c r="J306" s="22">
        <f t="shared" si="9"/>
        <v>252</v>
      </c>
    </row>
    <row r="307" spans="1:10" ht="15" customHeight="1" x14ac:dyDescent="0.35">
      <c r="A307" s="14">
        <v>305</v>
      </c>
      <c r="B307" s="17" t="str">
        <f>Normalisasi!B307</f>
        <v>Director of Marketing</v>
      </c>
      <c r="C307" s="21">
        <f>Normalisasi!H307</f>
        <v>8.8000000000000007</v>
      </c>
      <c r="D307" s="21">
        <f>Normalisasi!I307</f>
        <v>5.5</v>
      </c>
      <c r="E307" s="21">
        <f>Normalisasi!J307</f>
        <v>8.5599999999999987</v>
      </c>
      <c r="F307" s="21">
        <f>Normalisasi!K307</f>
        <v>7.4764670538754254</v>
      </c>
      <c r="G307" s="21">
        <f>Normalisasi!L307</f>
        <v>10</v>
      </c>
      <c r="H307" s="26">
        <f>MAX(C307,0.000000001)^'Asumsi &amp; Bobot'!$E$6*MAX(D307,0.000000001)^'Asumsi &amp; Bobot'!$E$7*MAX(E307,0.000000001)^'Asumsi &amp; Bobot'!$E$8*MAX(F307,0.000000001)^'Asumsi &amp; Bobot'!$E$9*MAX(G307,0.000000001)^'Asumsi &amp; Bobot'!$E$10</f>
        <v>4.4394072130515561</v>
      </c>
      <c r="I307" s="26">
        <f t="shared" si="8"/>
        <v>4.5867782375594874E-3</v>
      </c>
      <c r="J307" s="18">
        <f t="shared" si="9"/>
        <v>34</v>
      </c>
    </row>
    <row r="308" spans="1:10" ht="15" customHeight="1" x14ac:dyDescent="0.35">
      <c r="A308" s="11">
        <v>306</v>
      </c>
      <c r="B308" s="8" t="str">
        <f>Normalisasi!B308</f>
        <v>Junior Operations Analyst</v>
      </c>
      <c r="C308" s="25">
        <f>Normalisasi!H308</f>
        <v>3.4</v>
      </c>
      <c r="D308" s="25">
        <f>Normalisasi!I308</f>
        <v>1</v>
      </c>
      <c r="E308" s="25">
        <f>Normalisasi!J308</f>
        <v>2.08</v>
      </c>
      <c r="F308" s="25">
        <f>Normalisasi!K308</f>
        <v>2.7899058682155018</v>
      </c>
      <c r="G308" s="25">
        <f>Normalisasi!L308</f>
        <v>1</v>
      </c>
      <c r="H308" s="27">
        <f>MAX(C308,0.000000001)^'Asumsi &amp; Bobot'!$E$6*MAX(D308,0.000000001)^'Asumsi &amp; Bobot'!$E$7*MAX(E308,0.000000001)^'Asumsi &amp; Bobot'!$E$8*MAX(F308,0.000000001)^'Asumsi &amp; Bobot'!$E$9*MAX(G308,0.000000001)^'Asumsi &amp; Bobot'!$E$10</f>
        <v>1.4220175457083859</v>
      </c>
      <c r="I308" s="27">
        <f t="shared" si="8"/>
        <v>1.4692229883546909E-3</v>
      </c>
      <c r="J308" s="22">
        <f t="shared" si="9"/>
        <v>330</v>
      </c>
    </row>
    <row r="309" spans="1:10" ht="15" customHeight="1" x14ac:dyDescent="0.35">
      <c r="A309" s="14">
        <v>307</v>
      </c>
      <c r="B309" s="17" t="str">
        <f>Normalisasi!B309</f>
        <v>Senior Project Manager</v>
      </c>
      <c r="C309" s="21">
        <f>Normalisasi!H309</f>
        <v>6.7</v>
      </c>
      <c r="D309" s="21">
        <f>Normalisasi!I309</f>
        <v>1</v>
      </c>
      <c r="E309" s="21">
        <f>Normalisasi!J309</f>
        <v>5.32</v>
      </c>
      <c r="F309" s="21">
        <f>Normalisasi!K309</f>
        <v>5.3134388143400759</v>
      </c>
      <c r="G309" s="21">
        <f>Normalisasi!L309</f>
        <v>10</v>
      </c>
      <c r="H309" s="26">
        <f>MAX(C309,0.000000001)^'Asumsi &amp; Bobot'!$E$6*MAX(D309,0.000000001)^'Asumsi &amp; Bobot'!$E$7*MAX(E309,0.000000001)^'Asumsi &amp; Bobot'!$E$8*MAX(F309,0.000000001)^'Asumsi &amp; Bobot'!$E$9*MAX(G309,0.000000001)^'Asumsi &amp; Bobot'!$E$10</f>
        <v>2.3830623947376179</v>
      </c>
      <c r="I309" s="26">
        <f t="shared" si="8"/>
        <v>2.4621707823498915E-3</v>
      </c>
      <c r="J309" s="18">
        <f t="shared" si="9"/>
        <v>164</v>
      </c>
    </row>
    <row r="310" spans="1:10" ht="15" customHeight="1" x14ac:dyDescent="0.35">
      <c r="A310" s="11">
        <v>308</v>
      </c>
      <c r="B310" s="8" t="str">
        <f>Normalisasi!B310</f>
        <v>Director of Marketing</v>
      </c>
      <c r="C310" s="25">
        <f>Normalisasi!H310</f>
        <v>8.1999999999999993</v>
      </c>
      <c r="D310" s="25">
        <f>Normalisasi!I310</f>
        <v>5.5</v>
      </c>
      <c r="E310" s="25">
        <f>Normalisasi!J310</f>
        <v>7.84</v>
      </c>
      <c r="F310" s="25">
        <f>Normalisasi!K310</f>
        <v>7.1159623472862004</v>
      </c>
      <c r="G310" s="25">
        <f>Normalisasi!L310</f>
        <v>1</v>
      </c>
      <c r="H310" s="27">
        <f>MAX(C310,0.000000001)^'Asumsi &amp; Bobot'!$E$6*MAX(D310,0.000000001)^'Asumsi &amp; Bobot'!$E$7*MAX(E310,0.000000001)^'Asumsi &amp; Bobot'!$E$8*MAX(F310,0.000000001)^'Asumsi &amp; Bobot'!$E$9*MAX(G310,0.000000001)^'Asumsi &amp; Bobot'!$E$10</f>
        <v>3.6700081022801267</v>
      </c>
      <c r="I310" s="27">
        <f t="shared" si="8"/>
        <v>3.7918380737221153E-3</v>
      </c>
      <c r="J310" s="22">
        <f t="shared" si="9"/>
        <v>91</v>
      </c>
    </row>
    <row r="311" spans="1:10" ht="15" customHeight="1" x14ac:dyDescent="0.35">
      <c r="A311" s="14">
        <v>309</v>
      </c>
      <c r="B311" s="17" t="str">
        <f>Normalisasi!B311</f>
        <v>Junior Business Development Associate</v>
      </c>
      <c r="C311" s="21">
        <f>Normalisasi!H311</f>
        <v>2.8</v>
      </c>
      <c r="D311" s="21">
        <f>Normalisasi!I311</f>
        <v>1</v>
      </c>
      <c r="E311" s="21">
        <f>Normalisasi!J311</f>
        <v>1.54</v>
      </c>
      <c r="F311" s="21">
        <f>Normalisasi!K311</f>
        <v>2.2491488083316646</v>
      </c>
      <c r="G311" s="21">
        <f>Normalisasi!L311</f>
        <v>10</v>
      </c>
      <c r="H311" s="26">
        <f>MAX(C311,0.000000001)^'Asumsi &amp; Bobot'!$E$6*MAX(D311,0.000000001)^'Asumsi &amp; Bobot'!$E$7*MAX(E311,0.000000001)^'Asumsi &amp; Bobot'!$E$8*MAX(F311,0.000000001)^'Asumsi &amp; Bobot'!$E$9*MAX(G311,0.000000001)^'Asumsi &amp; Bobot'!$E$10</f>
        <v>1.4848049994739896</v>
      </c>
      <c r="I311" s="26">
        <f t="shared" si="8"/>
        <v>1.5340947409790428E-3</v>
      </c>
      <c r="J311" s="18">
        <f t="shared" si="9"/>
        <v>323</v>
      </c>
    </row>
    <row r="312" spans="1:10" ht="15" customHeight="1" x14ac:dyDescent="0.35">
      <c r="A312" s="11">
        <v>310</v>
      </c>
      <c r="B312" s="8" t="str">
        <f>Normalisasi!B312</f>
        <v>Senior Financial Manager</v>
      </c>
      <c r="C312" s="25">
        <f>Normalisasi!H312</f>
        <v>4.5999999999999996</v>
      </c>
      <c r="D312" s="25">
        <f>Normalisasi!I312</f>
        <v>1</v>
      </c>
      <c r="E312" s="25">
        <f>Normalisasi!J312</f>
        <v>4.24</v>
      </c>
      <c r="F312" s="25">
        <f>Normalisasi!K312</f>
        <v>4.5924294011616258</v>
      </c>
      <c r="G312" s="25">
        <f>Normalisasi!L312</f>
        <v>1</v>
      </c>
      <c r="H312" s="27">
        <f>MAX(C312,0.000000001)^'Asumsi &amp; Bobot'!$E$6*MAX(D312,0.000000001)^'Asumsi &amp; Bobot'!$E$7*MAX(E312,0.000000001)^'Asumsi &amp; Bobot'!$E$8*MAX(F312,0.000000001)^'Asumsi &amp; Bobot'!$E$9*MAX(G312,0.000000001)^'Asumsi &amp; Bobot'!$E$10</f>
        <v>1.7922607200455571</v>
      </c>
      <c r="I312" s="27">
        <f t="shared" si="8"/>
        <v>1.8517567936929395E-3</v>
      </c>
      <c r="J312" s="22">
        <f t="shared" si="9"/>
        <v>249</v>
      </c>
    </row>
    <row r="313" spans="1:10" ht="15" customHeight="1" x14ac:dyDescent="0.35">
      <c r="A313" s="14">
        <v>311</v>
      </c>
      <c r="B313" s="17" t="str">
        <f>Normalisasi!B313</f>
        <v>Senior Product Designer</v>
      </c>
      <c r="C313" s="21">
        <f>Normalisasi!H313</f>
        <v>7.3</v>
      </c>
      <c r="D313" s="21">
        <f>Normalisasi!I313</f>
        <v>10</v>
      </c>
      <c r="E313" s="21">
        <f>Normalisasi!J313</f>
        <v>6.4</v>
      </c>
      <c r="F313" s="21">
        <f>Normalisasi!K313</f>
        <v>6.3949529341077511</v>
      </c>
      <c r="G313" s="21">
        <f>Normalisasi!L313</f>
        <v>10</v>
      </c>
      <c r="H313" s="26">
        <f>MAX(C313,0.000000001)^'Asumsi &amp; Bobot'!$E$6*MAX(D313,0.000000001)^'Asumsi &amp; Bobot'!$E$7*MAX(E313,0.000000001)^'Asumsi &amp; Bobot'!$E$8*MAX(F313,0.000000001)^'Asumsi &amp; Bobot'!$E$9*MAX(G313,0.000000001)^'Asumsi &amp; Bobot'!$E$10</f>
        <v>4.64814409568746</v>
      </c>
      <c r="I313" s="26">
        <f t="shared" si="8"/>
        <v>4.8024443715053875E-3</v>
      </c>
      <c r="J313" s="18">
        <f t="shared" si="9"/>
        <v>21</v>
      </c>
    </row>
    <row r="314" spans="1:10" ht="15" customHeight="1" x14ac:dyDescent="0.35">
      <c r="A314" s="11">
        <v>312</v>
      </c>
      <c r="B314" s="8" t="str">
        <f>Normalisasi!B314</f>
        <v>Junior Business Analyst</v>
      </c>
      <c r="C314" s="25">
        <f>Normalisasi!H314</f>
        <v>4</v>
      </c>
      <c r="D314" s="25">
        <f>Normalisasi!I314</f>
        <v>1</v>
      </c>
      <c r="E314" s="25">
        <f>Normalisasi!J314</f>
        <v>2.44</v>
      </c>
      <c r="F314" s="25">
        <f>Normalisasi!K314</f>
        <v>3.1504105748047264</v>
      </c>
      <c r="G314" s="25">
        <f>Normalisasi!L314</f>
        <v>1</v>
      </c>
      <c r="H314" s="27">
        <f>MAX(C314,0.000000001)^'Asumsi &amp; Bobot'!$E$6*MAX(D314,0.000000001)^'Asumsi &amp; Bobot'!$E$7*MAX(E314,0.000000001)^'Asumsi &amp; Bobot'!$E$8*MAX(F314,0.000000001)^'Asumsi &amp; Bobot'!$E$9*MAX(G314,0.000000001)^'Asumsi &amp; Bobot'!$E$10</f>
        <v>1.5243791014849373</v>
      </c>
      <c r="I314" s="27">
        <f t="shared" si="8"/>
        <v>1.5749825490046559E-3</v>
      </c>
      <c r="J314" s="22">
        <f t="shared" si="9"/>
        <v>309</v>
      </c>
    </row>
    <row r="315" spans="1:10" ht="15" customHeight="1" x14ac:dyDescent="0.35">
      <c r="A315" s="14">
        <v>313</v>
      </c>
      <c r="B315" s="17" t="str">
        <f>Normalisasi!B315</f>
        <v>Senior Marketing Analyst</v>
      </c>
      <c r="C315" s="21">
        <f>Normalisasi!H315</f>
        <v>4.5999999999999996</v>
      </c>
      <c r="D315" s="21">
        <f>Normalisasi!I315</f>
        <v>1</v>
      </c>
      <c r="E315" s="21">
        <f>Normalisasi!J315</f>
        <v>3.88</v>
      </c>
      <c r="F315" s="21">
        <f>Normalisasi!K315</f>
        <v>4.0516723412777891</v>
      </c>
      <c r="G315" s="21">
        <f>Normalisasi!L315</f>
        <v>10</v>
      </c>
      <c r="H315" s="26">
        <f>MAX(C315,0.000000001)^'Asumsi &amp; Bobot'!$E$6*MAX(D315,0.000000001)^'Asumsi &amp; Bobot'!$E$7*MAX(E315,0.000000001)^'Asumsi &amp; Bobot'!$E$8*MAX(F315,0.000000001)^'Asumsi &amp; Bobot'!$E$9*MAX(G315,0.000000001)^'Asumsi &amp; Bobot'!$E$10</f>
        <v>2.0628971030138525</v>
      </c>
      <c r="I315" s="26">
        <f t="shared" si="8"/>
        <v>2.1313772502352703E-3</v>
      </c>
      <c r="J315" s="18">
        <f t="shared" si="9"/>
        <v>212</v>
      </c>
    </row>
    <row r="316" spans="1:10" ht="15" customHeight="1" x14ac:dyDescent="0.35">
      <c r="A316" s="11">
        <v>314</v>
      </c>
      <c r="B316" s="8" t="str">
        <f>Normalisasi!B316</f>
        <v>Senior Software Engineer</v>
      </c>
      <c r="C316" s="25">
        <f>Normalisasi!H316</f>
        <v>7.3</v>
      </c>
      <c r="D316" s="25">
        <f>Normalisasi!I316</f>
        <v>1</v>
      </c>
      <c r="E316" s="25">
        <f>Normalisasi!J316</f>
        <v>5.68</v>
      </c>
      <c r="F316" s="25">
        <f>Normalisasi!K316</f>
        <v>5.673943520929301</v>
      </c>
      <c r="G316" s="25">
        <f>Normalisasi!L316</f>
        <v>1</v>
      </c>
      <c r="H316" s="27">
        <f>MAX(C316,0.000000001)^'Asumsi &amp; Bobot'!$E$6*MAX(D316,0.000000001)^'Asumsi &amp; Bobot'!$E$7*MAX(E316,0.000000001)^'Asumsi &amp; Bobot'!$E$8*MAX(F316,0.000000001)^'Asumsi &amp; Bobot'!$E$9*MAX(G316,0.000000001)^'Asumsi &amp; Bobot'!$E$10</f>
        <v>2.1066676007798093</v>
      </c>
      <c r="I316" s="27">
        <f t="shared" si="8"/>
        <v>2.1766007580067133E-3</v>
      </c>
      <c r="J316" s="22">
        <f t="shared" si="9"/>
        <v>201</v>
      </c>
    </row>
    <row r="317" spans="1:10" ht="15" customHeight="1" x14ac:dyDescent="0.35">
      <c r="A317" s="14">
        <v>315</v>
      </c>
      <c r="B317" s="17" t="str">
        <f>Normalisasi!B317</f>
        <v>Senior Financial Advisor</v>
      </c>
      <c r="C317" s="21">
        <f>Normalisasi!H317</f>
        <v>4.3</v>
      </c>
      <c r="D317" s="21">
        <f>Normalisasi!I317</f>
        <v>5.5</v>
      </c>
      <c r="E317" s="21">
        <f>Normalisasi!J317</f>
        <v>3.16</v>
      </c>
      <c r="F317" s="21">
        <f>Normalisasi!K317</f>
        <v>3.8714199879831765</v>
      </c>
      <c r="G317" s="21">
        <f>Normalisasi!L317</f>
        <v>10</v>
      </c>
      <c r="H317" s="26">
        <f>MAX(C317,0.000000001)^'Asumsi &amp; Bobot'!$E$6*MAX(D317,0.000000001)^'Asumsi &amp; Bobot'!$E$7*MAX(E317,0.000000001)^'Asumsi &amp; Bobot'!$E$8*MAX(F317,0.000000001)^'Asumsi &amp; Bobot'!$E$9*MAX(G317,0.000000001)^'Asumsi &amp; Bobot'!$E$10</f>
        <v>3.0127983451348124</v>
      </c>
      <c r="I317" s="26">
        <f t="shared" si="8"/>
        <v>3.1128115129859138E-3</v>
      </c>
      <c r="J317" s="18">
        <f t="shared" si="9"/>
        <v>118</v>
      </c>
    </row>
    <row r="318" spans="1:10" ht="15" customHeight="1" x14ac:dyDescent="0.35">
      <c r="A318" s="11">
        <v>316</v>
      </c>
      <c r="B318" s="8" t="str">
        <f>Normalisasi!B318</f>
        <v>Senior Marketing Specialist</v>
      </c>
      <c r="C318" s="25">
        <f>Normalisasi!H318</f>
        <v>4.9000000000000004</v>
      </c>
      <c r="D318" s="25">
        <f>Normalisasi!I318</f>
        <v>1</v>
      </c>
      <c r="E318" s="25">
        <f>Normalisasi!J318</f>
        <v>3.88</v>
      </c>
      <c r="F318" s="25">
        <f>Normalisasi!K318</f>
        <v>4.4121770478670133</v>
      </c>
      <c r="G318" s="25">
        <f>Normalisasi!L318</f>
        <v>1</v>
      </c>
      <c r="H318" s="27">
        <f>MAX(C318,0.000000001)^'Asumsi &amp; Bobot'!$E$6*MAX(D318,0.000000001)^'Asumsi &amp; Bobot'!$E$7*MAX(E318,0.000000001)^'Asumsi &amp; Bobot'!$E$8*MAX(F318,0.000000001)^'Asumsi &amp; Bobot'!$E$9*MAX(G318,0.000000001)^'Asumsi &amp; Bobot'!$E$10</f>
        <v>1.7715880156307544</v>
      </c>
      <c r="I318" s="27">
        <f t="shared" si="8"/>
        <v>1.8303978360279275E-3</v>
      </c>
      <c r="J318" s="22">
        <f t="shared" si="9"/>
        <v>252</v>
      </c>
    </row>
    <row r="319" spans="1:10" ht="15" customHeight="1" x14ac:dyDescent="0.35">
      <c r="A319" s="14">
        <v>317</v>
      </c>
      <c r="B319" s="17" t="str">
        <f>Normalisasi!B319</f>
        <v>Junior HR Coordinator</v>
      </c>
      <c r="C319" s="21">
        <f>Normalisasi!H319</f>
        <v>3.1</v>
      </c>
      <c r="D319" s="21">
        <f>Normalisasi!I319</f>
        <v>1</v>
      </c>
      <c r="E319" s="21">
        <f>Normalisasi!J319</f>
        <v>1.72</v>
      </c>
      <c r="F319" s="21">
        <f>Normalisasi!K319</f>
        <v>2.4294011616262767</v>
      </c>
      <c r="G319" s="21">
        <f>Normalisasi!L319</f>
        <v>10</v>
      </c>
      <c r="H319" s="26">
        <f>MAX(C319,0.000000001)^'Asumsi &amp; Bobot'!$E$6*MAX(D319,0.000000001)^'Asumsi &amp; Bobot'!$E$7*MAX(E319,0.000000001)^'Asumsi &amp; Bobot'!$E$8*MAX(F319,0.000000001)^'Asumsi &amp; Bobot'!$E$9*MAX(G319,0.000000001)^'Asumsi &amp; Bobot'!$E$10</f>
        <v>1.556139725983684</v>
      </c>
      <c r="I319" s="26">
        <f t="shared" si="8"/>
        <v>1.6077975025042726E-3</v>
      </c>
      <c r="J319" s="18">
        <f t="shared" si="9"/>
        <v>297</v>
      </c>
    </row>
    <row r="320" spans="1:10" ht="15" customHeight="1" x14ac:dyDescent="0.35">
      <c r="A320" s="11">
        <v>318</v>
      </c>
      <c r="B320" s="8" t="str">
        <f>Normalisasi!B320</f>
        <v>Senior Business Development Manager</v>
      </c>
      <c r="C320" s="25">
        <f>Normalisasi!H320</f>
        <v>5.2</v>
      </c>
      <c r="D320" s="25">
        <f>Normalisasi!I320</f>
        <v>1</v>
      </c>
      <c r="E320" s="25">
        <f>Normalisasi!J320</f>
        <v>4.5999999999999996</v>
      </c>
      <c r="F320" s="25">
        <f>Normalisasi!K320</f>
        <v>5.3134388143400759</v>
      </c>
      <c r="G320" s="25">
        <f>Normalisasi!L320</f>
        <v>1</v>
      </c>
      <c r="H320" s="27">
        <f>MAX(C320,0.000000001)^'Asumsi &amp; Bobot'!$E$6*MAX(D320,0.000000001)^'Asumsi &amp; Bobot'!$E$7*MAX(E320,0.000000001)^'Asumsi &amp; Bobot'!$E$8*MAX(F320,0.000000001)^'Asumsi &amp; Bobot'!$E$9*MAX(G320,0.000000001)^'Asumsi &amp; Bobot'!$E$10</f>
        <v>1.8509862307219254</v>
      </c>
      <c r="I320" s="27">
        <f t="shared" si="8"/>
        <v>1.9124317625419404E-3</v>
      </c>
      <c r="J320" s="22">
        <f t="shared" si="9"/>
        <v>232</v>
      </c>
    </row>
    <row r="321" spans="1:10" ht="15" customHeight="1" x14ac:dyDescent="0.35">
      <c r="A321" s="14">
        <v>319</v>
      </c>
      <c r="B321" s="17" t="str">
        <f>Normalisasi!B321</f>
        <v>Senior Marketing Manager</v>
      </c>
      <c r="C321" s="21">
        <f>Normalisasi!H321</f>
        <v>7.6</v>
      </c>
      <c r="D321" s="21">
        <f>Normalisasi!I321</f>
        <v>5.5</v>
      </c>
      <c r="E321" s="21">
        <f>Normalisasi!J321</f>
        <v>6.76</v>
      </c>
      <c r="F321" s="21">
        <f>Normalisasi!K321</f>
        <v>6.7554576406969762</v>
      </c>
      <c r="G321" s="21">
        <f>Normalisasi!L321</f>
        <v>10</v>
      </c>
      <c r="H321" s="26">
        <f>MAX(C321,0.000000001)^'Asumsi &amp; Bobot'!$E$6*MAX(D321,0.000000001)^'Asumsi &amp; Bobot'!$E$7*MAX(E321,0.000000001)^'Asumsi &amp; Bobot'!$E$8*MAX(F321,0.000000001)^'Asumsi &amp; Bobot'!$E$9*MAX(G321,0.000000001)^'Asumsi &amp; Bobot'!$E$10</f>
        <v>4.0391287573668624</v>
      </c>
      <c r="I321" s="26">
        <f t="shared" si="8"/>
        <v>4.1732120965439047E-3</v>
      </c>
      <c r="J321" s="18">
        <f t="shared" si="9"/>
        <v>59</v>
      </c>
    </row>
    <row r="322" spans="1:10" ht="15" customHeight="1" x14ac:dyDescent="0.35">
      <c r="A322" s="11">
        <v>320</v>
      </c>
      <c r="B322" s="8" t="str">
        <f>Normalisasi!B322</f>
        <v>Junior Financial Advisor</v>
      </c>
      <c r="C322" s="25">
        <f>Normalisasi!H322</f>
        <v>3.7</v>
      </c>
      <c r="D322" s="25">
        <f>Normalisasi!I322</f>
        <v>1</v>
      </c>
      <c r="E322" s="25">
        <f>Normalisasi!J322</f>
        <v>2.44</v>
      </c>
      <c r="F322" s="25">
        <f>Normalisasi!K322</f>
        <v>3.3306629280993389</v>
      </c>
      <c r="G322" s="25">
        <f>Normalisasi!L322</f>
        <v>1</v>
      </c>
      <c r="H322" s="27">
        <f>MAX(C322,0.000000001)^'Asumsi &amp; Bobot'!$E$6*MAX(D322,0.000000001)^'Asumsi &amp; Bobot'!$E$7*MAX(E322,0.000000001)^'Asumsi &amp; Bobot'!$E$8*MAX(F322,0.000000001)^'Asumsi &amp; Bobot'!$E$9*MAX(G322,0.000000001)^'Asumsi &amp; Bobot'!$E$10</f>
        <v>1.4897024402350967</v>
      </c>
      <c r="I322" s="27">
        <f t="shared" si="8"/>
        <v>1.539154757694054E-3</v>
      </c>
      <c r="J322" s="22">
        <f t="shared" si="9"/>
        <v>321</v>
      </c>
    </row>
    <row r="323" spans="1:10" ht="15" customHeight="1" x14ac:dyDescent="0.35">
      <c r="A323" s="14">
        <v>321</v>
      </c>
      <c r="B323" s="17" t="str">
        <f>Normalisasi!B323</f>
        <v>Senior Project Manager</v>
      </c>
      <c r="C323" s="21">
        <f>Normalisasi!H323</f>
        <v>5.8</v>
      </c>
      <c r="D323" s="21">
        <f>Normalisasi!I323</f>
        <v>1</v>
      </c>
      <c r="E323" s="21">
        <f>Normalisasi!J323</f>
        <v>5.32</v>
      </c>
      <c r="F323" s="21">
        <f>Normalisasi!K323</f>
        <v>5.673943520929301</v>
      </c>
      <c r="G323" s="21">
        <f>Normalisasi!L323</f>
        <v>10</v>
      </c>
      <c r="H323" s="26">
        <f>MAX(C323,0.000000001)^'Asumsi &amp; Bobot'!$E$6*MAX(D323,0.000000001)^'Asumsi &amp; Bobot'!$E$7*MAX(E323,0.000000001)^'Asumsi &amp; Bobot'!$E$8*MAX(F323,0.000000001)^'Asumsi &amp; Bobot'!$E$9*MAX(G323,0.000000001)^'Asumsi &amp; Bobot'!$E$10</f>
        <v>2.295116886574232</v>
      </c>
      <c r="I323" s="26">
        <f t="shared" ref="I323:I386" si="10">H323/SUM($H$3:$H$375)</f>
        <v>2.3713058259320617E-3</v>
      </c>
      <c r="J323" s="18">
        <f t="shared" ref="J323:J386" si="11">RANK(I323,$I$3:$I$375,0)</f>
        <v>174</v>
      </c>
    </row>
    <row r="324" spans="1:10" ht="15" customHeight="1" x14ac:dyDescent="0.35">
      <c r="A324" s="11">
        <v>322</v>
      </c>
      <c r="B324" s="8" t="str">
        <f>Normalisasi!B324</f>
        <v>Director of Engineering</v>
      </c>
      <c r="C324" s="25">
        <f>Normalisasi!H324</f>
        <v>8.1999999999999993</v>
      </c>
      <c r="D324" s="25">
        <f>Normalisasi!I324</f>
        <v>10</v>
      </c>
      <c r="E324" s="25">
        <f>Normalisasi!J324</f>
        <v>8.1999999999999993</v>
      </c>
      <c r="F324" s="25">
        <f>Normalisasi!K324</f>
        <v>7.4764670538754254</v>
      </c>
      <c r="G324" s="25">
        <f>Normalisasi!L324</f>
        <v>1</v>
      </c>
      <c r="H324" s="27">
        <f>MAX(C324,0.000000001)^'Asumsi &amp; Bobot'!$E$6*MAX(D324,0.000000001)^'Asumsi &amp; Bobot'!$E$7*MAX(E324,0.000000001)^'Asumsi &amp; Bobot'!$E$8*MAX(F324,0.000000001)^'Asumsi &amp; Bobot'!$E$9*MAX(G324,0.000000001)^'Asumsi &amp; Bobot'!$E$10</f>
        <v>4.3405143672454303</v>
      </c>
      <c r="I324" s="27">
        <f t="shared" si="10"/>
        <v>4.4846025345376258E-3</v>
      </c>
      <c r="J324" s="22">
        <f t="shared" si="11"/>
        <v>45</v>
      </c>
    </row>
    <row r="325" spans="1:10" ht="15" customHeight="1" x14ac:dyDescent="0.35">
      <c r="A325" s="14">
        <v>323</v>
      </c>
      <c r="B325" s="17" t="str">
        <f>Normalisasi!B325</f>
        <v>Junior Marketing Analyst</v>
      </c>
      <c r="C325" s="21">
        <f>Normalisasi!H325</f>
        <v>2.8</v>
      </c>
      <c r="D325" s="21">
        <f>Normalisasi!I325</f>
        <v>1</v>
      </c>
      <c r="E325" s="21">
        <f>Normalisasi!J325</f>
        <v>1.72</v>
      </c>
      <c r="F325" s="21">
        <f>Normalisasi!K325</f>
        <v>2.4294011616262767</v>
      </c>
      <c r="G325" s="21">
        <f>Normalisasi!L325</f>
        <v>10</v>
      </c>
      <c r="H325" s="26">
        <f>MAX(C325,0.000000001)^'Asumsi &amp; Bobot'!$E$6*MAX(D325,0.000000001)^'Asumsi &amp; Bobot'!$E$7*MAX(E325,0.000000001)^'Asumsi &amp; Bobot'!$E$8*MAX(F325,0.000000001)^'Asumsi &amp; Bobot'!$E$9*MAX(G325,0.000000001)^'Asumsi &amp; Bobot'!$E$10</f>
        <v>1.5247823537972869</v>
      </c>
      <c r="I325" s="26">
        <f t="shared" si="10"/>
        <v>1.5753991877227921E-3</v>
      </c>
      <c r="J325" s="18">
        <f t="shared" si="11"/>
        <v>302</v>
      </c>
    </row>
    <row r="326" spans="1:10" ht="15" customHeight="1" x14ac:dyDescent="0.35">
      <c r="A326" s="11">
        <v>324</v>
      </c>
      <c r="B326" s="8" t="str">
        <f>Normalisasi!B326</f>
        <v>Senior Operations Manager</v>
      </c>
      <c r="C326" s="25">
        <f>Normalisasi!H326</f>
        <v>4.9000000000000004</v>
      </c>
      <c r="D326" s="25">
        <f>Normalisasi!I326</f>
        <v>1</v>
      </c>
      <c r="E326" s="25">
        <f>Normalisasi!J326</f>
        <v>4.24</v>
      </c>
      <c r="F326" s="25">
        <f>Normalisasi!K326</f>
        <v>4.5924294011616258</v>
      </c>
      <c r="G326" s="25">
        <f>Normalisasi!L326</f>
        <v>1</v>
      </c>
      <c r="H326" s="27">
        <f>MAX(C326,0.000000001)^'Asumsi &amp; Bobot'!$E$6*MAX(D326,0.000000001)^'Asumsi &amp; Bobot'!$E$7*MAX(E326,0.000000001)^'Asumsi &amp; Bobot'!$E$8*MAX(F326,0.000000001)^'Asumsi &amp; Bobot'!$E$9*MAX(G326,0.000000001)^'Asumsi &amp; Bobot'!$E$10</f>
        <v>1.8150510161457851</v>
      </c>
      <c r="I326" s="27">
        <f t="shared" si="10"/>
        <v>1.875303638837656E-3</v>
      </c>
      <c r="J326" s="22">
        <f t="shared" si="11"/>
        <v>243</v>
      </c>
    </row>
    <row r="327" spans="1:10" ht="15" customHeight="1" x14ac:dyDescent="0.35">
      <c r="A327" s="14">
        <v>325</v>
      </c>
      <c r="B327" s="17" t="str">
        <f>Normalisasi!B327</f>
        <v>Senior Data Scientist</v>
      </c>
      <c r="C327" s="21">
        <f>Normalisasi!H327</f>
        <v>7</v>
      </c>
      <c r="D327" s="21">
        <f>Normalisasi!I327</f>
        <v>10</v>
      </c>
      <c r="E327" s="21">
        <f>Normalisasi!J327</f>
        <v>6.4</v>
      </c>
      <c r="F327" s="21">
        <f>Normalisasi!K327</f>
        <v>6.3949529341077511</v>
      </c>
      <c r="G327" s="21">
        <f>Normalisasi!L327</f>
        <v>10</v>
      </c>
      <c r="H327" s="26">
        <f>MAX(C327,0.000000001)^'Asumsi &amp; Bobot'!$E$6*MAX(D327,0.000000001)^'Asumsi &amp; Bobot'!$E$7*MAX(E327,0.000000001)^'Asumsi &amp; Bobot'!$E$8*MAX(F327,0.000000001)^'Asumsi &amp; Bobot'!$E$9*MAX(G327,0.000000001)^'Asumsi &amp; Bobot'!$E$10</f>
        <v>4.6092962168810621</v>
      </c>
      <c r="I327" s="26">
        <f t="shared" si="10"/>
        <v>4.7623068944655077E-3</v>
      </c>
      <c r="J327" s="18">
        <f t="shared" si="11"/>
        <v>27</v>
      </c>
    </row>
    <row r="328" spans="1:10" ht="15" customHeight="1" x14ac:dyDescent="0.35">
      <c r="A328" s="11">
        <v>326</v>
      </c>
      <c r="B328" s="8" t="str">
        <f>Normalisasi!B328</f>
        <v>Junior Marketing Coordinator</v>
      </c>
      <c r="C328" s="25">
        <f>Normalisasi!H328</f>
        <v>3.7</v>
      </c>
      <c r="D328" s="25">
        <f>Normalisasi!I328</f>
        <v>1</v>
      </c>
      <c r="E328" s="25">
        <f>Normalisasi!J328</f>
        <v>2.08</v>
      </c>
      <c r="F328" s="25">
        <f>Normalisasi!K328</f>
        <v>2.9701582215101139</v>
      </c>
      <c r="G328" s="25">
        <f>Normalisasi!L328</f>
        <v>1</v>
      </c>
      <c r="H328" s="27">
        <f>MAX(C328,0.000000001)^'Asumsi &amp; Bobot'!$E$6*MAX(D328,0.000000001)^'Asumsi &amp; Bobot'!$E$7*MAX(E328,0.000000001)^'Asumsi &amp; Bobot'!$E$8*MAX(F328,0.000000001)^'Asumsi &amp; Bobot'!$E$9*MAX(G328,0.000000001)^'Asumsi &amp; Bobot'!$E$10</f>
        <v>1.4342477540385716</v>
      </c>
      <c r="I328" s="27">
        <f t="shared" si="10"/>
        <v>1.4818591919552062E-3</v>
      </c>
      <c r="J328" s="22">
        <f t="shared" si="11"/>
        <v>329</v>
      </c>
    </row>
    <row r="329" spans="1:10" ht="15" customHeight="1" x14ac:dyDescent="0.35">
      <c r="A329" s="14">
        <v>327</v>
      </c>
      <c r="B329" s="17" t="str">
        <f>Normalisasi!B329</f>
        <v>Senior Business Analyst</v>
      </c>
      <c r="C329" s="21">
        <f>Normalisasi!H329</f>
        <v>5.5</v>
      </c>
      <c r="D329" s="21">
        <f>Normalisasi!I329</f>
        <v>1</v>
      </c>
      <c r="E329" s="21">
        <f>Normalisasi!J329</f>
        <v>4.5999999999999996</v>
      </c>
      <c r="F329" s="21">
        <f>Normalisasi!K329</f>
        <v>4.9529341077508509</v>
      </c>
      <c r="G329" s="21">
        <f>Normalisasi!L329</f>
        <v>10</v>
      </c>
      <c r="H329" s="26">
        <f>MAX(C329,0.000000001)^'Asumsi &amp; Bobot'!$E$6*MAX(D329,0.000000001)^'Asumsi &amp; Bobot'!$E$7*MAX(E329,0.000000001)^'Asumsi &amp; Bobot'!$E$8*MAX(F329,0.000000001)^'Asumsi &amp; Bobot'!$E$9*MAX(G329,0.000000001)^'Asumsi &amp; Bobot'!$E$10</f>
        <v>2.2029779069363458</v>
      </c>
      <c r="I329" s="26">
        <f t="shared" si="10"/>
        <v>2.2761081911236315E-3</v>
      </c>
      <c r="J329" s="18">
        <f t="shared" si="11"/>
        <v>182</v>
      </c>
    </row>
    <row r="330" spans="1:10" ht="15" customHeight="1" x14ac:dyDescent="0.35">
      <c r="A330" s="11">
        <v>328</v>
      </c>
      <c r="B330" s="8" t="str">
        <f>Normalisasi!B330</f>
        <v>Director of Marketing</v>
      </c>
      <c r="C330" s="25">
        <f>Normalisasi!H330</f>
        <v>8.5</v>
      </c>
      <c r="D330" s="25">
        <f>Normalisasi!I330</f>
        <v>5.5</v>
      </c>
      <c r="E330" s="25">
        <f>Normalisasi!J330</f>
        <v>8.5599999999999987</v>
      </c>
      <c r="F330" s="25">
        <f>Normalisasi!K330</f>
        <v>7.4764670538754254</v>
      </c>
      <c r="G330" s="25">
        <f>Normalisasi!L330</f>
        <v>1</v>
      </c>
      <c r="H330" s="27">
        <f>MAX(C330,0.000000001)^'Asumsi &amp; Bobot'!$E$6*MAX(D330,0.000000001)^'Asumsi &amp; Bobot'!$E$7*MAX(E330,0.000000001)^'Asumsi &amp; Bobot'!$E$8*MAX(F330,0.000000001)^'Asumsi &amp; Bobot'!$E$9*MAX(G330,0.000000001)^'Asumsi &amp; Bobot'!$E$10</f>
        <v>3.7813385945757445</v>
      </c>
      <c r="I330" s="27">
        <f t="shared" si="10"/>
        <v>3.9068643046425528E-3</v>
      </c>
      <c r="J330" s="22">
        <f t="shared" si="11"/>
        <v>78</v>
      </c>
    </row>
    <row r="331" spans="1:10" ht="15" customHeight="1" x14ac:dyDescent="0.35">
      <c r="A331" s="14">
        <v>329</v>
      </c>
      <c r="B331" s="17" t="str">
        <f>Normalisasi!B331</f>
        <v>Junior Business Development Associate</v>
      </c>
      <c r="C331" s="21">
        <f>Normalisasi!H331</f>
        <v>3.4</v>
      </c>
      <c r="D331" s="21">
        <f>Normalisasi!I331</f>
        <v>1</v>
      </c>
      <c r="E331" s="21">
        <f>Normalisasi!J331</f>
        <v>2.08</v>
      </c>
      <c r="F331" s="21">
        <f>Normalisasi!K331</f>
        <v>2.7899058682155018</v>
      </c>
      <c r="G331" s="21">
        <f>Normalisasi!L331</f>
        <v>10</v>
      </c>
      <c r="H331" s="26">
        <f>MAX(C331,0.000000001)^'Asumsi &amp; Bobot'!$E$6*MAX(D331,0.000000001)^'Asumsi &amp; Bobot'!$E$7*MAX(E331,0.000000001)^'Asumsi &amp; Bobot'!$E$8*MAX(F331,0.000000001)^'Asumsi &amp; Bobot'!$E$9*MAX(G331,0.000000001)^'Asumsi &amp; Bobot'!$E$10</f>
        <v>1.6579507352718066</v>
      </c>
      <c r="I331" s="26">
        <f t="shared" si="10"/>
        <v>1.7129882406672022E-3</v>
      </c>
      <c r="J331" s="18">
        <f t="shared" si="11"/>
        <v>277</v>
      </c>
    </row>
    <row r="332" spans="1:10" ht="15" customHeight="1" x14ac:dyDescent="0.35">
      <c r="A332" s="11">
        <v>330</v>
      </c>
      <c r="B332" s="8" t="str">
        <f>Normalisasi!B332</f>
        <v>Senior Financial Analyst</v>
      </c>
      <c r="C332" s="25">
        <f>Normalisasi!H332</f>
        <v>6.1</v>
      </c>
      <c r="D332" s="25">
        <f>Normalisasi!I332</f>
        <v>1</v>
      </c>
      <c r="E332" s="25">
        <f>Normalisasi!J332</f>
        <v>5.32</v>
      </c>
      <c r="F332" s="25">
        <f>Normalisasi!K332</f>
        <v>5.673943520929301</v>
      </c>
      <c r="G332" s="25">
        <f>Normalisasi!L332</f>
        <v>1</v>
      </c>
      <c r="H332" s="27">
        <f>MAX(C332,0.000000001)^'Asumsi &amp; Bobot'!$E$6*MAX(D332,0.000000001)^'Asumsi &amp; Bobot'!$E$7*MAX(E332,0.000000001)^'Asumsi &amp; Bobot'!$E$8*MAX(F332,0.000000001)^'Asumsi &amp; Bobot'!$E$9*MAX(G332,0.000000001)^'Asumsi &amp; Bobot'!$E$10</f>
        <v>1.9884675586392559</v>
      </c>
      <c r="I332" s="27">
        <f t="shared" si="10"/>
        <v>2.0544769349487612E-3</v>
      </c>
      <c r="J332" s="22">
        <f t="shared" si="11"/>
        <v>223</v>
      </c>
    </row>
    <row r="333" spans="1:10" ht="15" customHeight="1" x14ac:dyDescent="0.35">
      <c r="A333" s="14">
        <v>331</v>
      </c>
      <c r="B333" s="17" t="str">
        <f>Normalisasi!B333</f>
        <v>Senior UX Designer</v>
      </c>
      <c r="C333" s="21">
        <f>Normalisasi!H333</f>
        <v>7.6</v>
      </c>
      <c r="D333" s="21">
        <f>Normalisasi!I333</f>
        <v>10</v>
      </c>
      <c r="E333" s="21">
        <f>Normalisasi!J333</f>
        <v>6.76</v>
      </c>
      <c r="F333" s="21">
        <f>Normalisasi!K333</f>
        <v>6.7554576406969762</v>
      </c>
      <c r="G333" s="21">
        <f>Normalisasi!L333</f>
        <v>10</v>
      </c>
      <c r="H333" s="26">
        <f>MAX(C333,0.000000001)^'Asumsi &amp; Bobot'!$E$6*MAX(D333,0.000000001)^'Asumsi &amp; Bobot'!$E$7*MAX(E333,0.000000001)^'Asumsi &amp; Bobot'!$E$8*MAX(F333,0.000000001)^'Asumsi &amp; Bobot'!$E$9*MAX(G333,0.000000001)^'Asumsi &amp; Bobot'!$E$10</f>
        <v>4.7372282856003274</v>
      </c>
      <c r="I333" s="26">
        <f t="shared" si="10"/>
        <v>4.8944858094707245E-3</v>
      </c>
      <c r="J333" s="18">
        <f t="shared" si="11"/>
        <v>10</v>
      </c>
    </row>
    <row r="334" spans="1:10" ht="15" customHeight="1" x14ac:dyDescent="0.35">
      <c r="A334" s="11">
        <v>332</v>
      </c>
      <c r="B334" s="8" t="str">
        <f>Normalisasi!B334</f>
        <v>Junior Product Manager</v>
      </c>
      <c r="C334" s="25">
        <f>Normalisasi!H334</f>
        <v>4</v>
      </c>
      <c r="D334" s="25">
        <f>Normalisasi!I334</f>
        <v>1</v>
      </c>
      <c r="E334" s="25">
        <f>Normalisasi!J334</f>
        <v>2.44</v>
      </c>
      <c r="F334" s="25">
        <f>Normalisasi!K334</f>
        <v>3.1504105748047264</v>
      </c>
      <c r="G334" s="25">
        <f>Normalisasi!L334</f>
        <v>1</v>
      </c>
      <c r="H334" s="27">
        <f>MAX(C334,0.000000001)^'Asumsi &amp; Bobot'!$E$6*MAX(D334,0.000000001)^'Asumsi &amp; Bobot'!$E$7*MAX(E334,0.000000001)^'Asumsi &amp; Bobot'!$E$8*MAX(F334,0.000000001)^'Asumsi &amp; Bobot'!$E$9*MAX(G334,0.000000001)^'Asumsi &amp; Bobot'!$E$10</f>
        <v>1.5243791014849373</v>
      </c>
      <c r="I334" s="27">
        <f t="shared" si="10"/>
        <v>1.5749825490046559E-3</v>
      </c>
      <c r="J334" s="22">
        <f t="shared" si="11"/>
        <v>309</v>
      </c>
    </row>
    <row r="335" spans="1:10" ht="15" customHeight="1" x14ac:dyDescent="0.35">
      <c r="A335" s="14">
        <v>333</v>
      </c>
      <c r="B335" s="17" t="str">
        <f>Normalisasi!B335</f>
        <v>Senior Marketing Manager</v>
      </c>
      <c r="C335" s="21">
        <f>Normalisasi!H335</f>
        <v>4.9000000000000004</v>
      </c>
      <c r="D335" s="21">
        <f>Normalisasi!I335</f>
        <v>1</v>
      </c>
      <c r="E335" s="21">
        <f>Normalisasi!J335</f>
        <v>3.88</v>
      </c>
      <c r="F335" s="21">
        <f>Normalisasi!K335</f>
        <v>4.4121770478670133</v>
      </c>
      <c r="G335" s="21">
        <f>Normalisasi!L335</f>
        <v>10</v>
      </c>
      <c r="H335" s="26">
        <f>MAX(C335,0.000000001)^'Asumsi &amp; Bobot'!$E$6*MAX(D335,0.000000001)^'Asumsi &amp; Bobot'!$E$7*MAX(E335,0.000000001)^'Asumsi &amp; Bobot'!$E$8*MAX(F335,0.000000001)^'Asumsi &amp; Bobot'!$E$9*MAX(G335,0.000000001)^'Asumsi &amp; Bobot'!$E$10</f>
        <v>2.0655199803814974</v>
      </c>
      <c r="I335" s="26">
        <f t="shared" si="10"/>
        <v>2.1340871969133608E-3</v>
      </c>
      <c r="J335" s="18">
        <f t="shared" si="11"/>
        <v>208</v>
      </c>
    </row>
    <row r="336" spans="1:10" ht="15" customHeight="1" x14ac:dyDescent="0.35">
      <c r="A336" s="11">
        <v>334</v>
      </c>
      <c r="B336" s="8" t="str">
        <f>Normalisasi!B336</f>
        <v>Director of Operations</v>
      </c>
      <c r="C336" s="25">
        <f>Normalisasi!H336</f>
        <v>8.1999999999999993</v>
      </c>
      <c r="D336" s="25">
        <f>Normalisasi!I336</f>
        <v>5.5</v>
      </c>
      <c r="E336" s="25">
        <f>Normalisasi!J336</f>
        <v>7.84</v>
      </c>
      <c r="F336" s="25">
        <f>Normalisasi!K336</f>
        <v>7.1159623472862004</v>
      </c>
      <c r="G336" s="25">
        <f>Normalisasi!L336</f>
        <v>1</v>
      </c>
      <c r="H336" s="27">
        <f>MAX(C336,0.000000001)^'Asumsi &amp; Bobot'!$E$6*MAX(D336,0.000000001)^'Asumsi &amp; Bobot'!$E$7*MAX(E336,0.000000001)^'Asumsi &amp; Bobot'!$E$8*MAX(F336,0.000000001)^'Asumsi &amp; Bobot'!$E$9*MAX(G336,0.000000001)^'Asumsi &amp; Bobot'!$E$10</f>
        <v>3.6700081022801267</v>
      </c>
      <c r="I336" s="27">
        <f t="shared" si="10"/>
        <v>3.7918380737221153E-3</v>
      </c>
      <c r="J336" s="22">
        <f t="shared" si="11"/>
        <v>91</v>
      </c>
    </row>
    <row r="337" spans="1:10" ht="15" customHeight="1" x14ac:dyDescent="0.35">
      <c r="A337" s="14">
        <v>335</v>
      </c>
      <c r="B337" s="17" t="str">
        <f>Normalisasi!B337</f>
        <v>Junior Project Manager</v>
      </c>
      <c r="C337" s="21">
        <f>Normalisasi!H337</f>
        <v>2.8</v>
      </c>
      <c r="D337" s="21">
        <f>Normalisasi!I337</f>
        <v>1</v>
      </c>
      <c r="E337" s="21">
        <f>Normalisasi!J337</f>
        <v>1.72</v>
      </c>
      <c r="F337" s="21">
        <f>Normalisasi!K337</f>
        <v>2.4294011616262767</v>
      </c>
      <c r="G337" s="21">
        <f>Normalisasi!L337</f>
        <v>10</v>
      </c>
      <c r="H337" s="26">
        <f>MAX(C337,0.000000001)^'Asumsi &amp; Bobot'!$E$6*MAX(D337,0.000000001)^'Asumsi &amp; Bobot'!$E$7*MAX(E337,0.000000001)^'Asumsi &amp; Bobot'!$E$8*MAX(F337,0.000000001)^'Asumsi &amp; Bobot'!$E$9*MAX(G337,0.000000001)^'Asumsi &amp; Bobot'!$E$10</f>
        <v>1.5247823537972869</v>
      </c>
      <c r="I337" s="26">
        <f t="shared" si="10"/>
        <v>1.5753991877227921E-3</v>
      </c>
      <c r="J337" s="18">
        <f t="shared" si="11"/>
        <v>302</v>
      </c>
    </row>
    <row r="338" spans="1:10" ht="15" customHeight="1" x14ac:dyDescent="0.35">
      <c r="A338" s="11">
        <v>336</v>
      </c>
      <c r="B338" s="8" t="str">
        <f>Normalisasi!B338</f>
        <v>Senior Operations Coordinator</v>
      </c>
      <c r="C338" s="25">
        <f>Normalisasi!H338</f>
        <v>4.3</v>
      </c>
      <c r="D338" s="25">
        <f>Normalisasi!I338</f>
        <v>1</v>
      </c>
      <c r="E338" s="25">
        <f>Normalisasi!J338</f>
        <v>3.52</v>
      </c>
      <c r="F338" s="25">
        <f>Normalisasi!K338</f>
        <v>4.2319246945724007</v>
      </c>
      <c r="G338" s="25">
        <f>Normalisasi!L338</f>
        <v>1</v>
      </c>
      <c r="H338" s="27">
        <f>MAX(C338,0.000000001)^'Asumsi &amp; Bobot'!$E$6*MAX(D338,0.000000001)^'Asumsi &amp; Bobot'!$E$7*MAX(E338,0.000000001)^'Asumsi &amp; Bobot'!$E$8*MAX(F338,0.000000001)^'Asumsi &amp; Bobot'!$E$9*MAX(G338,0.000000001)^'Asumsi &amp; Bobot'!$E$10</f>
        <v>1.680104086470902</v>
      </c>
      <c r="I338" s="27">
        <f t="shared" si="10"/>
        <v>1.7358769968214675E-3</v>
      </c>
      <c r="J338" s="22">
        <f t="shared" si="11"/>
        <v>272</v>
      </c>
    </row>
    <row r="339" spans="1:10" ht="15" customHeight="1" x14ac:dyDescent="0.35">
      <c r="A339" s="14">
        <v>337</v>
      </c>
      <c r="B339" s="17" t="str">
        <f>Normalisasi!B339</f>
        <v>Senior Business Analyst</v>
      </c>
      <c r="C339" s="21">
        <f>Normalisasi!H339</f>
        <v>7.3</v>
      </c>
      <c r="D339" s="21">
        <f>Normalisasi!I339</f>
        <v>10</v>
      </c>
      <c r="E339" s="21">
        <f>Normalisasi!J339</f>
        <v>6.4</v>
      </c>
      <c r="F339" s="21">
        <f>Normalisasi!K339</f>
        <v>6.3949529341077511</v>
      </c>
      <c r="G339" s="21">
        <f>Normalisasi!L339</f>
        <v>10</v>
      </c>
      <c r="H339" s="26">
        <f>MAX(C339,0.000000001)^'Asumsi &amp; Bobot'!$E$6*MAX(D339,0.000000001)^'Asumsi &amp; Bobot'!$E$7*MAX(E339,0.000000001)^'Asumsi &amp; Bobot'!$E$8*MAX(F339,0.000000001)^'Asumsi &amp; Bobot'!$E$9*MAX(G339,0.000000001)^'Asumsi &amp; Bobot'!$E$10</f>
        <v>4.64814409568746</v>
      </c>
      <c r="I339" s="26">
        <f t="shared" si="10"/>
        <v>4.8024443715053875E-3</v>
      </c>
      <c r="J339" s="18">
        <f t="shared" si="11"/>
        <v>21</v>
      </c>
    </row>
    <row r="340" spans="1:10" ht="15" customHeight="1" x14ac:dyDescent="0.35">
      <c r="A340" s="11">
        <v>338</v>
      </c>
      <c r="B340" s="8" t="str">
        <f>Normalisasi!B340</f>
        <v>Junior Marketing Specialist</v>
      </c>
      <c r="C340" s="25">
        <f>Normalisasi!H340</f>
        <v>4</v>
      </c>
      <c r="D340" s="25">
        <f>Normalisasi!I340</f>
        <v>1</v>
      </c>
      <c r="E340" s="25">
        <f>Normalisasi!J340</f>
        <v>2.8</v>
      </c>
      <c r="F340" s="25">
        <f>Normalisasi!K340</f>
        <v>3.5109152813939515</v>
      </c>
      <c r="G340" s="25">
        <f>Normalisasi!L340</f>
        <v>1</v>
      </c>
      <c r="H340" s="27">
        <f>MAX(C340,0.000000001)^'Asumsi &amp; Bobot'!$E$6*MAX(D340,0.000000001)^'Asumsi &amp; Bobot'!$E$7*MAX(E340,0.000000001)^'Asumsi &amp; Bobot'!$E$8*MAX(F340,0.000000001)^'Asumsi &amp; Bobot'!$E$9*MAX(G340,0.000000001)^'Asumsi &amp; Bobot'!$E$10</f>
        <v>1.5730479534570225</v>
      </c>
      <c r="I340" s="27">
        <f t="shared" si="10"/>
        <v>1.6252670172589476E-3</v>
      </c>
      <c r="J340" s="22">
        <f t="shared" si="11"/>
        <v>294</v>
      </c>
    </row>
    <row r="341" spans="1:10" ht="15" customHeight="1" x14ac:dyDescent="0.35">
      <c r="A341" s="14">
        <v>339</v>
      </c>
      <c r="B341" s="17" t="str">
        <f>Normalisasi!B341</f>
        <v>Senior Financial Manager</v>
      </c>
      <c r="C341" s="21">
        <f>Normalisasi!H341</f>
        <v>4.5999999999999996</v>
      </c>
      <c r="D341" s="21">
        <f>Normalisasi!I341</f>
        <v>1</v>
      </c>
      <c r="E341" s="21">
        <f>Normalisasi!J341</f>
        <v>3.88</v>
      </c>
      <c r="F341" s="21">
        <f>Normalisasi!K341</f>
        <v>4.2319246945724007</v>
      </c>
      <c r="G341" s="21">
        <f>Normalisasi!L341</f>
        <v>10</v>
      </c>
      <c r="H341" s="26">
        <f>MAX(C341,0.000000001)^'Asumsi &amp; Bobot'!$E$6*MAX(D341,0.000000001)^'Asumsi &amp; Bobot'!$E$7*MAX(E341,0.000000001)^'Asumsi &amp; Bobot'!$E$8*MAX(F341,0.000000001)^'Asumsi &amp; Bobot'!$E$9*MAX(G341,0.000000001)^'Asumsi &amp; Bobot'!$E$10</f>
        <v>2.0509594979468537</v>
      </c>
      <c r="I341" s="26">
        <f t="shared" si="10"/>
        <v>2.1190433631863613E-3</v>
      </c>
      <c r="J341" s="18">
        <f t="shared" si="11"/>
        <v>220</v>
      </c>
    </row>
    <row r="342" spans="1:10" ht="15" customHeight="1" x14ac:dyDescent="0.35">
      <c r="A342" s="11">
        <v>340</v>
      </c>
      <c r="B342" s="8" t="str">
        <f>Normalisasi!B342</f>
        <v>Director of Marketing</v>
      </c>
      <c r="C342" s="25">
        <f>Normalisasi!H342</f>
        <v>7</v>
      </c>
      <c r="D342" s="25">
        <f>Normalisasi!I342</f>
        <v>5.5</v>
      </c>
      <c r="E342" s="25">
        <f>Normalisasi!J342</f>
        <v>7.48</v>
      </c>
      <c r="F342" s="25">
        <f>Normalisasi!K342</f>
        <v>7.1159623472862004</v>
      </c>
      <c r="G342" s="25">
        <f>Normalisasi!L342</f>
        <v>1</v>
      </c>
      <c r="H342" s="27">
        <f>MAX(C342,0.000000001)^'Asumsi &amp; Bobot'!$E$6*MAX(D342,0.000000001)^'Asumsi &amp; Bobot'!$E$7*MAX(E342,0.000000001)^'Asumsi &amp; Bobot'!$E$8*MAX(F342,0.000000001)^'Asumsi &amp; Bobot'!$E$9*MAX(G342,0.000000001)^'Asumsi &amp; Bobot'!$E$10</f>
        <v>3.5004109921669251</v>
      </c>
      <c r="I342" s="27">
        <f t="shared" si="10"/>
        <v>3.6166110002666262E-3</v>
      </c>
      <c r="J342" s="22">
        <f t="shared" si="11"/>
        <v>107</v>
      </c>
    </row>
    <row r="343" spans="1:10" ht="15" customHeight="1" x14ac:dyDescent="0.35">
      <c r="A343" s="14">
        <v>341</v>
      </c>
      <c r="B343" s="17" t="str">
        <f>Normalisasi!B343</f>
        <v>Junior Financial Analyst</v>
      </c>
      <c r="C343" s="21">
        <f>Normalisasi!H343</f>
        <v>3.4</v>
      </c>
      <c r="D343" s="21">
        <f>Normalisasi!I343</f>
        <v>1</v>
      </c>
      <c r="E343" s="21">
        <f>Normalisasi!J343</f>
        <v>2.08</v>
      </c>
      <c r="F343" s="21">
        <f>Normalisasi!K343</f>
        <v>2.7899058682155018</v>
      </c>
      <c r="G343" s="21">
        <f>Normalisasi!L343</f>
        <v>10</v>
      </c>
      <c r="H343" s="26">
        <f>MAX(C343,0.000000001)^'Asumsi &amp; Bobot'!$E$6*MAX(D343,0.000000001)^'Asumsi &amp; Bobot'!$E$7*MAX(E343,0.000000001)^'Asumsi &amp; Bobot'!$E$8*MAX(F343,0.000000001)^'Asumsi &amp; Bobot'!$E$9*MAX(G343,0.000000001)^'Asumsi &amp; Bobot'!$E$10</f>
        <v>1.6579507352718066</v>
      </c>
      <c r="I343" s="26">
        <f t="shared" si="10"/>
        <v>1.7129882406672022E-3</v>
      </c>
      <c r="J343" s="18">
        <f t="shared" si="11"/>
        <v>277</v>
      </c>
    </row>
    <row r="344" spans="1:10" ht="15" customHeight="1" x14ac:dyDescent="0.35">
      <c r="A344" s="11">
        <v>342</v>
      </c>
      <c r="B344" s="8" t="str">
        <f>Normalisasi!B344</f>
        <v>Senior Product Manager</v>
      </c>
      <c r="C344" s="25">
        <f>Normalisasi!H344</f>
        <v>6.4</v>
      </c>
      <c r="D344" s="25">
        <f>Normalisasi!I344</f>
        <v>1</v>
      </c>
      <c r="E344" s="25">
        <f>Normalisasi!J344</f>
        <v>6.04</v>
      </c>
      <c r="F344" s="25">
        <f>Normalisasi!K344</f>
        <v>6.3949529341077511</v>
      </c>
      <c r="G344" s="25">
        <f>Normalisasi!L344</f>
        <v>1</v>
      </c>
      <c r="H344" s="27">
        <f>MAX(C344,0.000000001)^'Asumsi &amp; Bobot'!$E$6*MAX(D344,0.000000001)^'Asumsi &amp; Bobot'!$E$7*MAX(E344,0.000000001)^'Asumsi &amp; Bobot'!$E$8*MAX(F344,0.000000001)^'Asumsi &amp; Bobot'!$E$9*MAX(G344,0.000000001)^'Asumsi &amp; Bobot'!$E$10</f>
        <v>2.0612784395426322</v>
      </c>
      <c r="I344" s="27">
        <f t="shared" si="10"/>
        <v>2.1297048534427666E-3</v>
      </c>
      <c r="J344" s="22">
        <f t="shared" si="11"/>
        <v>218</v>
      </c>
    </row>
    <row r="345" spans="1:10" ht="15" customHeight="1" x14ac:dyDescent="0.35">
      <c r="A345" s="14">
        <v>343</v>
      </c>
      <c r="B345" s="17" t="str">
        <f>Normalisasi!B345</f>
        <v>Senior Data Engineer</v>
      </c>
      <c r="C345" s="21">
        <f>Normalisasi!H345</f>
        <v>7.3</v>
      </c>
      <c r="D345" s="21">
        <f>Normalisasi!I345</f>
        <v>10</v>
      </c>
      <c r="E345" s="21">
        <f>Normalisasi!J345</f>
        <v>6.76</v>
      </c>
      <c r="F345" s="21">
        <f>Normalisasi!K345</f>
        <v>6.7554576406969762</v>
      </c>
      <c r="G345" s="21">
        <f>Normalisasi!L345</f>
        <v>10</v>
      </c>
      <c r="H345" s="26">
        <f>MAX(C345,0.000000001)^'Asumsi &amp; Bobot'!$E$6*MAX(D345,0.000000001)^'Asumsi &amp; Bobot'!$E$7*MAX(E345,0.000000001)^'Asumsi &amp; Bobot'!$E$8*MAX(F345,0.000000001)^'Asumsi &amp; Bobot'!$E$9*MAX(G345,0.000000001)^'Asumsi &amp; Bobot'!$E$10</f>
        <v>4.6992242174410368</v>
      </c>
      <c r="I345" s="26">
        <f t="shared" si="10"/>
        <v>4.8552201543041332E-3</v>
      </c>
      <c r="J345" s="18">
        <f t="shared" si="11"/>
        <v>12</v>
      </c>
    </row>
    <row r="346" spans="1:10" ht="15" customHeight="1" x14ac:dyDescent="0.35">
      <c r="A346" s="11">
        <v>344</v>
      </c>
      <c r="B346" s="8" t="str">
        <f>Normalisasi!B346</f>
        <v>Junior Business Analyst</v>
      </c>
      <c r="C346" s="25">
        <f>Normalisasi!H346</f>
        <v>4</v>
      </c>
      <c r="D346" s="25">
        <f>Normalisasi!I346</f>
        <v>1</v>
      </c>
      <c r="E346" s="25">
        <f>Normalisasi!J346</f>
        <v>2.44</v>
      </c>
      <c r="F346" s="25">
        <f>Normalisasi!K346</f>
        <v>3.1504105748047264</v>
      </c>
      <c r="G346" s="25">
        <f>Normalisasi!L346</f>
        <v>1</v>
      </c>
      <c r="H346" s="27">
        <f>MAX(C346,0.000000001)^'Asumsi &amp; Bobot'!$E$6*MAX(D346,0.000000001)^'Asumsi &amp; Bobot'!$E$7*MAX(E346,0.000000001)^'Asumsi &amp; Bobot'!$E$8*MAX(F346,0.000000001)^'Asumsi &amp; Bobot'!$E$9*MAX(G346,0.000000001)^'Asumsi &amp; Bobot'!$E$10</f>
        <v>1.5243791014849373</v>
      </c>
      <c r="I346" s="27">
        <f t="shared" si="10"/>
        <v>1.5749825490046559E-3</v>
      </c>
      <c r="J346" s="22">
        <f t="shared" si="11"/>
        <v>309</v>
      </c>
    </row>
    <row r="347" spans="1:10" ht="15" customHeight="1" x14ac:dyDescent="0.35">
      <c r="A347" s="14">
        <v>345</v>
      </c>
      <c r="B347" s="17" t="str">
        <f>Normalisasi!B347</f>
        <v>Senior Marketing Analyst</v>
      </c>
      <c r="C347" s="21">
        <f>Normalisasi!H347</f>
        <v>4.5999999999999996</v>
      </c>
      <c r="D347" s="21">
        <f>Normalisasi!I347</f>
        <v>1</v>
      </c>
      <c r="E347" s="21">
        <f>Normalisasi!J347</f>
        <v>3.88</v>
      </c>
      <c r="F347" s="21">
        <f>Normalisasi!K347</f>
        <v>4.0516723412777891</v>
      </c>
      <c r="G347" s="21">
        <f>Normalisasi!L347</f>
        <v>10</v>
      </c>
      <c r="H347" s="26">
        <f>MAX(C347,0.000000001)^'Asumsi &amp; Bobot'!$E$6*MAX(D347,0.000000001)^'Asumsi &amp; Bobot'!$E$7*MAX(E347,0.000000001)^'Asumsi &amp; Bobot'!$E$8*MAX(F347,0.000000001)^'Asumsi &amp; Bobot'!$E$9*MAX(G347,0.000000001)^'Asumsi &amp; Bobot'!$E$10</f>
        <v>2.0628971030138525</v>
      </c>
      <c r="I347" s="26">
        <f t="shared" si="10"/>
        <v>2.1313772502352703E-3</v>
      </c>
      <c r="J347" s="18">
        <f t="shared" si="11"/>
        <v>212</v>
      </c>
    </row>
    <row r="348" spans="1:10" ht="15" customHeight="1" x14ac:dyDescent="0.35">
      <c r="A348" s="11">
        <v>346</v>
      </c>
      <c r="B348" s="8" t="str">
        <f>Normalisasi!B348</f>
        <v>Director of Engineering</v>
      </c>
      <c r="C348" s="25">
        <f>Normalisasi!H348</f>
        <v>7.6</v>
      </c>
      <c r="D348" s="25">
        <f>Normalisasi!I348</f>
        <v>5.5</v>
      </c>
      <c r="E348" s="25">
        <f>Normalisasi!J348</f>
        <v>7.84</v>
      </c>
      <c r="F348" s="25">
        <f>Normalisasi!K348</f>
        <v>7.4764670538754254</v>
      </c>
      <c r="G348" s="25">
        <f>Normalisasi!L348</f>
        <v>1</v>
      </c>
      <c r="H348" s="27">
        <f>MAX(C348,0.000000001)^'Asumsi &amp; Bobot'!$E$6*MAX(D348,0.000000001)^'Asumsi &amp; Bobot'!$E$7*MAX(E348,0.000000001)^'Asumsi &amp; Bobot'!$E$8*MAX(F348,0.000000001)^'Asumsi &amp; Bobot'!$E$9*MAX(G348,0.000000001)^'Asumsi &amp; Bobot'!$E$10</f>
        <v>3.590916170559844</v>
      </c>
      <c r="I348" s="27">
        <f t="shared" si="10"/>
        <v>3.7101205979936909E-3</v>
      </c>
      <c r="J348" s="22">
        <f t="shared" si="11"/>
        <v>100</v>
      </c>
    </row>
    <row r="349" spans="1:10" ht="15" customHeight="1" x14ac:dyDescent="0.35">
      <c r="A349" s="14">
        <v>347</v>
      </c>
      <c r="B349" s="17" t="str">
        <f>Normalisasi!B349</f>
        <v>Junior Operations Manager</v>
      </c>
      <c r="C349" s="21">
        <f>Normalisasi!H349</f>
        <v>2.5</v>
      </c>
      <c r="D349" s="21">
        <f>Normalisasi!I349</f>
        <v>1</v>
      </c>
      <c r="E349" s="21">
        <f>Normalisasi!J349</f>
        <v>1.3599999999999999</v>
      </c>
      <c r="F349" s="21">
        <f>Normalisasi!K349</f>
        <v>2.2491488083316646</v>
      </c>
      <c r="G349" s="21">
        <f>Normalisasi!L349</f>
        <v>10</v>
      </c>
      <c r="H349" s="26">
        <f>MAX(C349,0.000000001)^'Asumsi &amp; Bobot'!$E$6*MAX(D349,0.000000001)^'Asumsi &amp; Bobot'!$E$7*MAX(E349,0.000000001)^'Asumsi &amp; Bobot'!$E$8*MAX(F349,0.000000001)^'Asumsi &amp; Bobot'!$E$9*MAX(G349,0.000000001)^'Asumsi &amp; Bobot'!$E$10</f>
        <v>1.3926175988614073</v>
      </c>
      <c r="I349" s="26">
        <f t="shared" si="10"/>
        <v>1.4388470778081942E-3</v>
      </c>
      <c r="J349" s="18">
        <f t="shared" si="11"/>
        <v>338</v>
      </c>
    </row>
    <row r="350" spans="1:10" ht="15" customHeight="1" x14ac:dyDescent="0.35">
      <c r="A350" s="11">
        <v>348</v>
      </c>
      <c r="B350" s="8" t="str">
        <f>Normalisasi!B350</f>
        <v>Senior Business Development Manager</v>
      </c>
      <c r="C350" s="25">
        <f>Normalisasi!H350</f>
        <v>4.9000000000000004</v>
      </c>
      <c r="D350" s="25">
        <f>Normalisasi!I350</f>
        <v>1</v>
      </c>
      <c r="E350" s="25">
        <f>Normalisasi!J350</f>
        <v>3.88</v>
      </c>
      <c r="F350" s="25">
        <f>Normalisasi!K350</f>
        <v>4.9529341077508509</v>
      </c>
      <c r="G350" s="25">
        <f>Normalisasi!L350</f>
        <v>1</v>
      </c>
      <c r="H350" s="27">
        <f>MAX(C350,0.000000001)^'Asumsi &amp; Bobot'!$E$6*MAX(D350,0.000000001)^'Asumsi &amp; Bobot'!$E$7*MAX(E350,0.000000001)^'Asumsi &amp; Bobot'!$E$8*MAX(F350,0.000000001)^'Asumsi &amp; Bobot'!$E$9*MAX(G350,0.000000001)^'Asumsi &amp; Bobot'!$E$10</f>
        <v>1.7444885280691342</v>
      </c>
      <c r="I350" s="27">
        <f t="shared" si="10"/>
        <v>1.8023987510529737E-3</v>
      </c>
      <c r="J350" s="22">
        <f t="shared" si="11"/>
        <v>261</v>
      </c>
    </row>
    <row r="351" spans="1:10" ht="15" customHeight="1" x14ac:dyDescent="0.35">
      <c r="A351" s="14">
        <v>349</v>
      </c>
      <c r="B351" s="17" t="str">
        <f>Normalisasi!B351</f>
        <v>Senior Data Scientist</v>
      </c>
      <c r="C351" s="21">
        <f>Normalisasi!H351</f>
        <v>7.3</v>
      </c>
      <c r="D351" s="21">
        <f>Normalisasi!I351</f>
        <v>10</v>
      </c>
      <c r="E351" s="21">
        <f>Normalisasi!J351</f>
        <v>6.76</v>
      </c>
      <c r="F351" s="21">
        <f>Normalisasi!K351</f>
        <v>6.7554576406969762</v>
      </c>
      <c r="G351" s="21">
        <f>Normalisasi!L351</f>
        <v>10</v>
      </c>
      <c r="H351" s="26">
        <f>MAX(C351,0.000000001)^'Asumsi &amp; Bobot'!$E$6*MAX(D351,0.000000001)^'Asumsi &amp; Bobot'!$E$7*MAX(E351,0.000000001)^'Asumsi &amp; Bobot'!$E$8*MAX(F351,0.000000001)^'Asumsi &amp; Bobot'!$E$9*MAX(G351,0.000000001)^'Asumsi &amp; Bobot'!$E$10</f>
        <v>4.6992242174410368</v>
      </c>
      <c r="I351" s="26">
        <f t="shared" si="10"/>
        <v>4.8552201543041332E-3</v>
      </c>
      <c r="J351" s="18">
        <f t="shared" si="11"/>
        <v>12</v>
      </c>
    </row>
    <row r="352" spans="1:10" ht="15" customHeight="1" x14ac:dyDescent="0.35">
      <c r="A352" s="11">
        <v>350</v>
      </c>
      <c r="B352" s="8" t="str">
        <f>Normalisasi!B352</f>
        <v>Junior Marketing Coordinator</v>
      </c>
      <c r="C352" s="25">
        <f>Normalisasi!H352</f>
        <v>3.4</v>
      </c>
      <c r="D352" s="25">
        <f>Normalisasi!I352</f>
        <v>1</v>
      </c>
      <c r="E352" s="25">
        <f>Normalisasi!J352</f>
        <v>2.08</v>
      </c>
      <c r="F352" s="25">
        <f>Normalisasi!K352</f>
        <v>2.9701582215101139</v>
      </c>
      <c r="G352" s="25">
        <f>Normalisasi!L352</f>
        <v>1</v>
      </c>
      <c r="H352" s="27">
        <f>MAX(C352,0.000000001)^'Asumsi &amp; Bobot'!$E$6*MAX(D352,0.000000001)^'Asumsi &amp; Bobot'!$E$7*MAX(E352,0.000000001)^'Asumsi &amp; Bobot'!$E$8*MAX(F352,0.000000001)^'Asumsi &amp; Bobot'!$E$9*MAX(G352,0.000000001)^'Asumsi &amp; Bobot'!$E$10</f>
        <v>1.4101964500260002</v>
      </c>
      <c r="I352" s="27">
        <f t="shared" si="10"/>
        <v>1.457009478348069E-3</v>
      </c>
      <c r="J352" s="22">
        <f t="shared" si="11"/>
        <v>334</v>
      </c>
    </row>
    <row r="353" spans="1:10" ht="15" customHeight="1" x14ac:dyDescent="0.35">
      <c r="A353" s="14">
        <v>351</v>
      </c>
      <c r="B353" s="17" t="str">
        <f>Normalisasi!B353</f>
        <v>Senior Business Analyst</v>
      </c>
      <c r="C353" s="21">
        <f>Normalisasi!H353</f>
        <v>5.5</v>
      </c>
      <c r="D353" s="21">
        <f>Normalisasi!I353</f>
        <v>1</v>
      </c>
      <c r="E353" s="21">
        <f>Normalisasi!J353</f>
        <v>4.5999999999999996</v>
      </c>
      <c r="F353" s="21">
        <f>Normalisasi!K353</f>
        <v>4.9529341077508509</v>
      </c>
      <c r="G353" s="21">
        <f>Normalisasi!L353</f>
        <v>10</v>
      </c>
      <c r="H353" s="26">
        <f>MAX(C353,0.000000001)^'Asumsi &amp; Bobot'!$E$6*MAX(D353,0.000000001)^'Asumsi &amp; Bobot'!$E$7*MAX(E353,0.000000001)^'Asumsi &amp; Bobot'!$E$8*MAX(F353,0.000000001)^'Asumsi &amp; Bobot'!$E$9*MAX(G353,0.000000001)^'Asumsi &amp; Bobot'!$E$10</f>
        <v>2.2029779069363458</v>
      </c>
      <c r="I353" s="26">
        <f t="shared" si="10"/>
        <v>2.2761081911236315E-3</v>
      </c>
      <c r="J353" s="18">
        <f t="shared" si="11"/>
        <v>182</v>
      </c>
    </row>
    <row r="354" spans="1:10" ht="15" customHeight="1" x14ac:dyDescent="0.35">
      <c r="A354" s="11">
        <v>352</v>
      </c>
      <c r="B354" s="8" t="str">
        <f>Normalisasi!B354</f>
        <v>Director of Marketing</v>
      </c>
      <c r="C354" s="25">
        <f>Normalisasi!H354</f>
        <v>8.5</v>
      </c>
      <c r="D354" s="25">
        <f>Normalisasi!I354</f>
        <v>5.5</v>
      </c>
      <c r="E354" s="25">
        <f>Normalisasi!J354</f>
        <v>8.5599999999999987</v>
      </c>
      <c r="F354" s="25">
        <f>Normalisasi!K354</f>
        <v>7.4764670538754254</v>
      </c>
      <c r="G354" s="25">
        <f>Normalisasi!L354</f>
        <v>1</v>
      </c>
      <c r="H354" s="27">
        <f>MAX(C354,0.000000001)^'Asumsi &amp; Bobot'!$E$6*MAX(D354,0.000000001)^'Asumsi &amp; Bobot'!$E$7*MAX(E354,0.000000001)^'Asumsi &amp; Bobot'!$E$8*MAX(F354,0.000000001)^'Asumsi &amp; Bobot'!$E$9*MAX(G354,0.000000001)^'Asumsi &amp; Bobot'!$E$10</f>
        <v>3.7813385945757445</v>
      </c>
      <c r="I354" s="27">
        <f t="shared" si="10"/>
        <v>3.9068643046425528E-3</v>
      </c>
      <c r="J354" s="22">
        <f t="shared" si="11"/>
        <v>78</v>
      </c>
    </row>
    <row r="355" spans="1:10" ht="15" customHeight="1" x14ac:dyDescent="0.35">
      <c r="A355" s="14">
        <v>353</v>
      </c>
      <c r="B355" s="17" t="str">
        <f>Normalisasi!B355</f>
        <v>Junior Business Development Associate</v>
      </c>
      <c r="C355" s="21">
        <f>Normalisasi!H355</f>
        <v>3.4</v>
      </c>
      <c r="D355" s="21">
        <f>Normalisasi!I355</f>
        <v>1</v>
      </c>
      <c r="E355" s="21">
        <f>Normalisasi!J355</f>
        <v>2.08</v>
      </c>
      <c r="F355" s="21">
        <f>Normalisasi!K355</f>
        <v>2.7899058682155018</v>
      </c>
      <c r="G355" s="21">
        <f>Normalisasi!L355</f>
        <v>10</v>
      </c>
      <c r="H355" s="26">
        <f>MAX(C355,0.000000001)^'Asumsi &amp; Bobot'!$E$6*MAX(D355,0.000000001)^'Asumsi &amp; Bobot'!$E$7*MAX(E355,0.000000001)^'Asumsi &amp; Bobot'!$E$8*MAX(F355,0.000000001)^'Asumsi &amp; Bobot'!$E$9*MAX(G355,0.000000001)^'Asumsi &amp; Bobot'!$E$10</f>
        <v>1.6579507352718066</v>
      </c>
      <c r="I355" s="26">
        <f t="shared" si="10"/>
        <v>1.7129882406672022E-3</v>
      </c>
      <c r="J355" s="18">
        <f t="shared" si="11"/>
        <v>277</v>
      </c>
    </row>
    <row r="356" spans="1:10" ht="15" customHeight="1" x14ac:dyDescent="0.35">
      <c r="A356" s="11">
        <v>354</v>
      </c>
      <c r="B356" s="8" t="str">
        <f>Normalisasi!B356</f>
        <v>Senior Financial Analyst</v>
      </c>
      <c r="C356" s="25">
        <f>Normalisasi!H356</f>
        <v>6.1</v>
      </c>
      <c r="D356" s="25">
        <f>Normalisasi!I356</f>
        <v>1</v>
      </c>
      <c r="E356" s="25">
        <f>Normalisasi!J356</f>
        <v>5.32</v>
      </c>
      <c r="F356" s="25">
        <f>Normalisasi!K356</f>
        <v>5.673943520929301</v>
      </c>
      <c r="G356" s="25">
        <f>Normalisasi!L356</f>
        <v>1</v>
      </c>
      <c r="H356" s="27">
        <f>MAX(C356,0.000000001)^'Asumsi &amp; Bobot'!$E$6*MAX(D356,0.000000001)^'Asumsi &amp; Bobot'!$E$7*MAX(E356,0.000000001)^'Asumsi &amp; Bobot'!$E$8*MAX(F356,0.000000001)^'Asumsi &amp; Bobot'!$E$9*MAX(G356,0.000000001)^'Asumsi &amp; Bobot'!$E$10</f>
        <v>1.9884675586392559</v>
      </c>
      <c r="I356" s="27">
        <f t="shared" si="10"/>
        <v>2.0544769349487612E-3</v>
      </c>
      <c r="J356" s="22">
        <f t="shared" si="11"/>
        <v>223</v>
      </c>
    </row>
    <row r="357" spans="1:10" ht="15" customHeight="1" x14ac:dyDescent="0.35">
      <c r="A357" s="14">
        <v>355</v>
      </c>
      <c r="B357" s="17" t="str">
        <f>Normalisasi!B357</f>
        <v>Senior UX Designer</v>
      </c>
      <c r="C357" s="21">
        <f>Normalisasi!H357</f>
        <v>7.6</v>
      </c>
      <c r="D357" s="21">
        <f>Normalisasi!I357</f>
        <v>10</v>
      </c>
      <c r="E357" s="21">
        <f>Normalisasi!J357</f>
        <v>6.76</v>
      </c>
      <c r="F357" s="21">
        <f>Normalisasi!K357</f>
        <v>6.7554576406969762</v>
      </c>
      <c r="G357" s="21">
        <f>Normalisasi!L357</f>
        <v>10</v>
      </c>
      <c r="H357" s="26">
        <f>MAX(C357,0.000000001)^'Asumsi &amp; Bobot'!$E$6*MAX(D357,0.000000001)^'Asumsi &amp; Bobot'!$E$7*MAX(E357,0.000000001)^'Asumsi &amp; Bobot'!$E$8*MAX(F357,0.000000001)^'Asumsi &amp; Bobot'!$E$9*MAX(G357,0.000000001)^'Asumsi &amp; Bobot'!$E$10</f>
        <v>4.7372282856003274</v>
      </c>
      <c r="I357" s="26">
        <f t="shared" si="10"/>
        <v>4.8944858094707245E-3</v>
      </c>
      <c r="J357" s="18">
        <f t="shared" si="11"/>
        <v>10</v>
      </c>
    </row>
    <row r="358" spans="1:10" ht="15" customHeight="1" x14ac:dyDescent="0.35">
      <c r="A358" s="11">
        <v>356</v>
      </c>
      <c r="B358" s="8" t="str">
        <f>Normalisasi!B358</f>
        <v>Junior Product Manager</v>
      </c>
      <c r="C358" s="25">
        <f>Normalisasi!H358</f>
        <v>4</v>
      </c>
      <c r="D358" s="25">
        <f>Normalisasi!I358</f>
        <v>1</v>
      </c>
      <c r="E358" s="25">
        <f>Normalisasi!J358</f>
        <v>2.44</v>
      </c>
      <c r="F358" s="25">
        <f>Normalisasi!K358</f>
        <v>3.1504105748047264</v>
      </c>
      <c r="G358" s="25">
        <f>Normalisasi!L358</f>
        <v>1</v>
      </c>
      <c r="H358" s="27">
        <f>MAX(C358,0.000000001)^'Asumsi &amp; Bobot'!$E$6*MAX(D358,0.000000001)^'Asumsi &amp; Bobot'!$E$7*MAX(E358,0.000000001)^'Asumsi &amp; Bobot'!$E$8*MAX(F358,0.000000001)^'Asumsi &amp; Bobot'!$E$9*MAX(G358,0.000000001)^'Asumsi &amp; Bobot'!$E$10</f>
        <v>1.5243791014849373</v>
      </c>
      <c r="I358" s="27">
        <f t="shared" si="10"/>
        <v>1.5749825490046559E-3</v>
      </c>
      <c r="J358" s="22">
        <f t="shared" si="11"/>
        <v>309</v>
      </c>
    </row>
    <row r="359" spans="1:10" ht="15" customHeight="1" x14ac:dyDescent="0.35">
      <c r="A359" s="14">
        <v>357</v>
      </c>
      <c r="B359" s="17" t="str">
        <f>Normalisasi!B359</f>
        <v>Senior Marketing Manager</v>
      </c>
      <c r="C359" s="21">
        <f>Normalisasi!H359</f>
        <v>4.9000000000000004</v>
      </c>
      <c r="D359" s="21">
        <f>Normalisasi!I359</f>
        <v>1</v>
      </c>
      <c r="E359" s="21">
        <f>Normalisasi!J359</f>
        <v>3.88</v>
      </c>
      <c r="F359" s="21">
        <f>Normalisasi!K359</f>
        <v>4.4121770478670133</v>
      </c>
      <c r="G359" s="21">
        <f>Normalisasi!L359</f>
        <v>10</v>
      </c>
      <c r="H359" s="26">
        <f>MAX(C359,0.000000001)^'Asumsi &amp; Bobot'!$E$6*MAX(D359,0.000000001)^'Asumsi &amp; Bobot'!$E$7*MAX(E359,0.000000001)^'Asumsi &amp; Bobot'!$E$8*MAX(F359,0.000000001)^'Asumsi &amp; Bobot'!$E$9*MAX(G359,0.000000001)^'Asumsi &amp; Bobot'!$E$10</f>
        <v>2.0655199803814974</v>
      </c>
      <c r="I359" s="26">
        <f t="shared" si="10"/>
        <v>2.1340871969133608E-3</v>
      </c>
      <c r="J359" s="18">
        <f t="shared" si="11"/>
        <v>208</v>
      </c>
    </row>
    <row r="360" spans="1:10" ht="15" customHeight="1" x14ac:dyDescent="0.35">
      <c r="A360" s="11">
        <v>358</v>
      </c>
      <c r="B360" s="8" t="str">
        <f>Normalisasi!B360</f>
        <v>Director of Operations</v>
      </c>
      <c r="C360" s="25">
        <f>Normalisasi!H360</f>
        <v>8.1999999999999993</v>
      </c>
      <c r="D360" s="25">
        <f>Normalisasi!I360</f>
        <v>5.5</v>
      </c>
      <c r="E360" s="25">
        <f>Normalisasi!J360</f>
        <v>7.84</v>
      </c>
      <c r="F360" s="25">
        <f>Normalisasi!K360</f>
        <v>7.1159623472862004</v>
      </c>
      <c r="G360" s="25">
        <f>Normalisasi!L360</f>
        <v>1</v>
      </c>
      <c r="H360" s="27">
        <f>MAX(C360,0.000000001)^'Asumsi &amp; Bobot'!$E$6*MAX(D360,0.000000001)^'Asumsi &amp; Bobot'!$E$7*MAX(E360,0.000000001)^'Asumsi &amp; Bobot'!$E$8*MAX(F360,0.000000001)^'Asumsi &amp; Bobot'!$E$9*MAX(G360,0.000000001)^'Asumsi &amp; Bobot'!$E$10</f>
        <v>3.6700081022801267</v>
      </c>
      <c r="I360" s="27">
        <f t="shared" si="10"/>
        <v>3.7918380737221153E-3</v>
      </c>
      <c r="J360" s="22">
        <f t="shared" si="11"/>
        <v>91</v>
      </c>
    </row>
    <row r="361" spans="1:10" ht="15" customHeight="1" x14ac:dyDescent="0.35">
      <c r="A361" s="14">
        <v>359</v>
      </c>
      <c r="B361" s="17" t="str">
        <f>Normalisasi!B361</f>
        <v>Junior Project Manager</v>
      </c>
      <c r="C361" s="21">
        <f>Normalisasi!H361</f>
        <v>2.8</v>
      </c>
      <c r="D361" s="21">
        <f>Normalisasi!I361</f>
        <v>1</v>
      </c>
      <c r="E361" s="21">
        <f>Normalisasi!J361</f>
        <v>1.72</v>
      </c>
      <c r="F361" s="21">
        <f>Normalisasi!K361</f>
        <v>2.4294011616262767</v>
      </c>
      <c r="G361" s="21">
        <f>Normalisasi!L361</f>
        <v>10</v>
      </c>
      <c r="H361" s="26">
        <f>MAX(C361,0.000000001)^'Asumsi &amp; Bobot'!$E$6*MAX(D361,0.000000001)^'Asumsi &amp; Bobot'!$E$7*MAX(E361,0.000000001)^'Asumsi &amp; Bobot'!$E$8*MAX(F361,0.000000001)^'Asumsi &amp; Bobot'!$E$9*MAX(G361,0.000000001)^'Asumsi &amp; Bobot'!$E$10</f>
        <v>1.5247823537972869</v>
      </c>
      <c r="I361" s="26">
        <f t="shared" si="10"/>
        <v>1.5753991877227921E-3</v>
      </c>
      <c r="J361" s="18">
        <f t="shared" si="11"/>
        <v>302</v>
      </c>
    </row>
    <row r="362" spans="1:10" ht="15" customHeight="1" x14ac:dyDescent="0.35">
      <c r="A362" s="11">
        <v>360</v>
      </c>
      <c r="B362" s="8" t="str">
        <f>Normalisasi!B362</f>
        <v>Senior Operations Coordinator</v>
      </c>
      <c r="C362" s="25">
        <f>Normalisasi!H362</f>
        <v>4.3</v>
      </c>
      <c r="D362" s="25">
        <f>Normalisasi!I362</f>
        <v>1</v>
      </c>
      <c r="E362" s="25">
        <f>Normalisasi!J362</f>
        <v>3.52</v>
      </c>
      <c r="F362" s="25">
        <f>Normalisasi!K362</f>
        <v>4.2319246945724007</v>
      </c>
      <c r="G362" s="25">
        <f>Normalisasi!L362</f>
        <v>1</v>
      </c>
      <c r="H362" s="27">
        <f>MAX(C362,0.000000001)^'Asumsi &amp; Bobot'!$E$6*MAX(D362,0.000000001)^'Asumsi &amp; Bobot'!$E$7*MAX(E362,0.000000001)^'Asumsi &amp; Bobot'!$E$8*MAX(F362,0.000000001)^'Asumsi &amp; Bobot'!$E$9*MAX(G362,0.000000001)^'Asumsi &amp; Bobot'!$E$10</f>
        <v>1.680104086470902</v>
      </c>
      <c r="I362" s="27">
        <f t="shared" si="10"/>
        <v>1.7358769968214675E-3</v>
      </c>
      <c r="J362" s="22">
        <f t="shared" si="11"/>
        <v>272</v>
      </c>
    </row>
    <row r="363" spans="1:10" ht="15" customHeight="1" x14ac:dyDescent="0.35">
      <c r="A363" s="14">
        <v>361</v>
      </c>
      <c r="B363" s="17" t="str">
        <f>Normalisasi!B363</f>
        <v>Senior Business Analyst</v>
      </c>
      <c r="C363" s="21">
        <f>Normalisasi!H363</f>
        <v>7.3</v>
      </c>
      <c r="D363" s="21">
        <f>Normalisasi!I363</f>
        <v>10</v>
      </c>
      <c r="E363" s="21">
        <f>Normalisasi!J363</f>
        <v>6.4</v>
      </c>
      <c r="F363" s="21">
        <f>Normalisasi!K363</f>
        <v>6.3949529341077511</v>
      </c>
      <c r="G363" s="21">
        <f>Normalisasi!L363</f>
        <v>10</v>
      </c>
      <c r="H363" s="26">
        <f>MAX(C363,0.000000001)^'Asumsi &amp; Bobot'!$E$6*MAX(D363,0.000000001)^'Asumsi &amp; Bobot'!$E$7*MAX(E363,0.000000001)^'Asumsi &amp; Bobot'!$E$8*MAX(F363,0.000000001)^'Asumsi &amp; Bobot'!$E$9*MAX(G363,0.000000001)^'Asumsi &amp; Bobot'!$E$10</f>
        <v>4.64814409568746</v>
      </c>
      <c r="I363" s="26">
        <f t="shared" si="10"/>
        <v>4.8024443715053875E-3</v>
      </c>
      <c r="J363" s="18">
        <f t="shared" si="11"/>
        <v>21</v>
      </c>
    </row>
    <row r="364" spans="1:10" ht="15" customHeight="1" x14ac:dyDescent="0.35">
      <c r="A364" s="11">
        <v>362</v>
      </c>
      <c r="B364" s="8" t="str">
        <f>Normalisasi!B364</f>
        <v>Junior Marketing Specialist</v>
      </c>
      <c r="C364" s="25">
        <f>Normalisasi!H364</f>
        <v>4</v>
      </c>
      <c r="D364" s="25">
        <f>Normalisasi!I364</f>
        <v>1</v>
      </c>
      <c r="E364" s="25">
        <f>Normalisasi!J364</f>
        <v>2.8</v>
      </c>
      <c r="F364" s="25">
        <f>Normalisasi!K364</f>
        <v>3.5109152813939515</v>
      </c>
      <c r="G364" s="25">
        <f>Normalisasi!L364</f>
        <v>1</v>
      </c>
      <c r="H364" s="27">
        <f>MAX(C364,0.000000001)^'Asumsi &amp; Bobot'!$E$6*MAX(D364,0.000000001)^'Asumsi &amp; Bobot'!$E$7*MAX(E364,0.000000001)^'Asumsi &amp; Bobot'!$E$8*MAX(F364,0.000000001)^'Asumsi &amp; Bobot'!$E$9*MAX(G364,0.000000001)^'Asumsi &amp; Bobot'!$E$10</f>
        <v>1.5730479534570225</v>
      </c>
      <c r="I364" s="27">
        <f t="shared" si="10"/>
        <v>1.6252670172589476E-3</v>
      </c>
      <c r="J364" s="22">
        <f t="shared" si="11"/>
        <v>294</v>
      </c>
    </row>
    <row r="365" spans="1:10" ht="15" customHeight="1" x14ac:dyDescent="0.35">
      <c r="A365" s="14">
        <v>363</v>
      </c>
      <c r="B365" s="17" t="str">
        <f>Normalisasi!B365</f>
        <v>Senior Financial Manager</v>
      </c>
      <c r="C365" s="21">
        <f>Normalisasi!H365</f>
        <v>4.5999999999999996</v>
      </c>
      <c r="D365" s="21">
        <f>Normalisasi!I365</f>
        <v>1</v>
      </c>
      <c r="E365" s="21">
        <f>Normalisasi!J365</f>
        <v>3.88</v>
      </c>
      <c r="F365" s="21">
        <f>Normalisasi!K365</f>
        <v>4.2319246945724007</v>
      </c>
      <c r="G365" s="21">
        <f>Normalisasi!L365</f>
        <v>10</v>
      </c>
      <c r="H365" s="26">
        <f>MAX(C365,0.000000001)^'Asumsi &amp; Bobot'!$E$6*MAX(D365,0.000000001)^'Asumsi &amp; Bobot'!$E$7*MAX(E365,0.000000001)^'Asumsi &amp; Bobot'!$E$8*MAX(F365,0.000000001)^'Asumsi &amp; Bobot'!$E$9*MAX(G365,0.000000001)^'Asumsi &amp; Bobot'!$E$10</f>
        <v>2.0509594979468537</v>
      </c>
      <c r="I365" s="26">
        <f t="shared" si="10"/>
        <v>2.1190433631863613E-3</v>
      </c>
      <c r="J365" s="18">
        <f t="shared" si="11"/>
        <v>220</v>
      </c>
    </row>
    <row r="366" spans="1:10" ht="15" customHeight="1" x14ac:dyDescent="0.35">
      <c r="A366" s="11">
        <v>364</v>
      </c>
      <c r="B366" s="8" t="str">
        <f>Normalisasi!B366</f>
        <v>Director of Marketing</v>
      </c>
      <c r="C366" s="25">
        <f>Normalisasi!H366</f>
        <v>7</v>
      </c>
      <c r="D366" s="25">
        <f>Normalisasi!I366</f>
        <v>5.5</v>
      </c>
      <c r="E366" s="25">
        <f>Normalisasi!J366</f>
        <v>7.48</v>
      </c>
      <c r="F366" s="25">
        <f>Normalisasi!K366</f>
        <v>7.1159623472862004</v>
      </c>
      <c r="G366" s="25">
        <f>Normalisasi!L366</f>
        <v>1</v>
      </c>
      <c r="H366" s="27">
        <f>MAX(C366,0.000000001)^'Asumsi &amp; Bobot'!$E$6*MAX(D366,0.000000001)^'Asumsi &amp; Bobot'!$E$7*MAX(E366,0.000000001)^'Asumsi &amp; Bobot'!$E$8*MAX(F366,0.000000001)^'Asumsi &amp; Bobot'!$E$9*MAX(G366,0.000000001)^'Asumsi &amp; Bobot'!$E$10</f>
        <v>3.5004109921669251</v>
      </c>
      <c r="I366" s="27">
        <f t="shared" si="10"/>
        <v>3.6166110002666262E-3</v>
      </c>
      <c r="J366" s="22">
        <f t="shared" si="11"/>
        <v>107</v>
      </c>
    </row>
    <row r="367" spans="1:10" ht="15" customHeight="1" x14ac:dyDescent="0.35">
      <c r="A367" s="14">
        <v>365</v>
      </c>
      <c r="B367" s="17" t="str">
        <f>Normalisasi!B367</f>
        <v>Junior Financial Analyst</v>
      </c>
      <c r="C367" s="21">
        <f>Normalisasi!H367</f>
        <v>3.4</v>
      </c>
      <c r="D367" s="21">
        <f>Normalisasi!I367</f>
        <v>1</v>
      </c>
      <c r="E367" s="21">
        <f>Normalisasi!J367</f>
        <v>2.08</v>
      </c>
      <c r="F367" s="21">
        <f>Normalisasi!K367</f>
        <v>2.7899058682155018</v>
      </c>
      <c r="G367" s="21">
        <f>Normalisasi!L367</f>
        <v>10</v>
      </c>
      <c r="H367" s="26">
        <f>MAX(C367,0.000000001)^'Asumsi &amp; Bobot'!$E$6*MAX(D367,0.000000001)^'Asumsi &amp; Bobot'!$E$7*MAX(E367,0.000000001)^'Asumsi &amp; Bobot'!$E$8*MAX(F367,0.000000001)^'Asumsi &amp; Bobot'!$E$9*MAX(G367,0.000000001)^'Asumsi &amp; Bobot'!$E$10</f>
        <v>1.6579507352718066</v>
      </c>
      <c r="I367" s="26">
        <f t="shared" si="10"/>
        <v>1.7129882406672022E-3</v>
      </c>
      <c r="J367" s="18">
        <f t="shared" si="11"/>
        <v>277</v>
      </c>
    </row>
    <row r="368" spans="1:10" ht="15" customHeight="1" x14ac:dyDescent="0.35">
      <c r="A368" s="11">
        <v>366</v>
      </c>
      <c r="B368" s="8" t="str">
        <f>Normalisasi!B368</f>
        <v>Senior Product Manager</v>
      </c>
      <c r="C368" s="25">
        <f>Normalisasi!H368</f>
        <v>6.4</v>
      </c>
      <c r="D368" s="25">
        <f>Normalisasi!I368</f>
        <v>1</v>
      </c>
      <c r="E368" s="25">
        <f>Normalisasi!J368</f>
        <v>6.04</v>
      </c>
      <c r="F368" s="25">
        <f>Normalisasi!K368</f>
        <v>6.3949529341077511</v>
      </c>
      <c r="G368" s="25">
        <f>Normalisasi!L368</f>
        <v>1</v>
      </c>
      <c r="H368" s="27">
        <f>MAX(C368,0.000000001)^'Asumsi &amp; Bobot'!$E$6*MAX(D368,0.000000001)^'Asumsi &amp; Bobot'!$E$7*MAX(E368,0.000000001)^'Asumsi &amp; Bobot'!$E$8*MAX(F368,0.000000001)^'Asumsi &amp; Bobot'!$E$9*MAX(G368,0.000000001)^'Asumsi &amp; Bobot'!$E$10</f>
        <v>2.0612784395426322</v>
      </c>
      <c r="I368" s="27">
        <f t="shared" si="10"/>
        <v>2.1297048534427666E-3</v>
      </c>
      <c r="J368" s="22">
        <f t="shared" si="11"/>
        <v>218</v>
      </c>
    </row>
    <row r="369" spans="1:10" ht="15" customHeight="1" x14ac:dyDescent="0.35">
      <c r="A369" s="14">
        <v>367</v>
      </c>
      <c r="B369" s="17" t="str">
        <f>Normalisasi!B369</f>
        <v>Senior Data Engineer</v>
      </c>
      <c r="C369" s="21">
        <f>Normalisasi!H369</f>
        <v>7.3</v>
      </c>
      <c r="D369" s="21">
        <f>Normalisasi!I369</f>
        <v>10</v>
      </c>
      <c r="E369" s="21">
        <f>Normalisasi!J369</f>
        <v>6.76</v>
      </c>
      <c r="F369" s="21">
        <f>Normalisasi!K369</f>
        <v>6.7554576406969762</v>
      </c>
      <c r="G369" s="21">
        <f>Normalisasi!L369</f>
        <v>10</v>
      </c>
      <c r="H369" s="26">
        <f>MAX(C369,0.000000001)^'Asumsi &amp; Bobot'!$E$6*MAX(D369,0.000000001)^'Asumsi &amp; Bobot'!$E$7*MAX(E369,0.000000001)^'Asumsi &amp; Bobot'!$E$8*MAX(F369,0.000000001)^'Asumsi &amp; Bobot'!$E$9*MAX(G369,0.000000001)^'Asumsi &amp; Bobot'!$E$10</f>
        <v>4.6992242174410368</v>
      </c>
      <c r="I369" s="26">
        <f t="shared" si="10"/>
        <v>4.8552201543041332E-3</v>
      </c>
      <c r="J369" s="18">
        <f t="shared" si="11"/>
        <v>12</v>
      </c>
    </row>
    <row r="370" spans="1:10" ht="15" customHeight="1" x14ac:dyDescent="0.35">
      <c r="A370" s="11">
        <v>368</v>
      </c>
      <c r="B370" s="8" t="str">
        <f>Normalisasi!B370</f>
        <v>Junior Business Analyst</v>
      </c>
      <c r="C370" s="25">
        <f>Normalisasi!H370</f>
        <v>4</v>
      </c>
      <c r="D370" s="25">
        <f>Normalisasi!I370</f>
        <v>1</v>
      </c>
      <c r="E370" s="25">
        <f>Normalisasi!J370</f>
        <v>2.44</v>
      </c>
      <c r="F370" s="25">
        <f>Normalisasi!K370</f>
        <v>3.1504105748047264</v>
      </c>
      <c r="G370" s="25">
        <f>Normalisasi!L370</f>
        <v>1</v>
      </c>
      <c r="H370" s="27">
        <f>MAX(C370,0.000000001)^'Asumsi &amp; Bobot'!$E$6*MAX(D370,0.000000001)^'Asumsi &amp; Bobot'!$E$7*MAX(E370,0.000000001)^'Asumsi &amp; Bobot'!$E$8*MAX(F370,0.000000001)^'Asumsi &amp; Bobot'!$E$9*MAX(G370,0.000000001)^'Asumsi &amp; Bobot'!$E$10</f>
        <v>1.5243791014849373</v>
      </c>
      <c r="I370" s="27">
        <f t="shared" si="10"/>
        <v>1.5749825490046559E-3</v>
      </c>
      <c r="J370" s="22">
        <f t="shared" si="11"/>
        <v>309</v>
      </c>
    </row>
    <row r="371" spans="1:10" ht="15" customHeight="1" x14ac:dyDescent="0.35">
      <c r="A371" s="14">
        <v>369</v>
      </c>
      <c r="B371" s="17" t="str">
        <f>Normalisasi!B371</f>
        <v>Senior Marketing Analyst</v>
      </c>
      <c r="C371" s="21">
        <f>Normalisasi!H371</f>
        <v>4.5999999999999996</v>
      </c>
      <c r="D371" s="21">
        <f>Normalisasi!I371</f>
        <v>1</v>
      </c>
      <c r="E371" s="21">
        <f>Normalisasi!J371</f>
        <v>3.88</v>
      </c>
      <c r="F371" s="21">
        <f>Normalisasi!K371</f>
        <v>4.0516723412777891</v>
      </c>
      <c r="G371" s="21">
        <f>Normalisasi!L371</f>
        <v>10</v>
      </c>
      <c r="H371" s="26">
        <f>MAX(C371,0.000000001)^'Asumsi &amp; Bobot'!$E$6*MAX(D371,0.000000001)^'Asumsi &amp; Bobot'!$E$7*MAX(E371,0.000000001)^'Asumsi &amp; Bobot'!$E$8*MAX(F371,0.000000001)^'Asumsi &amp; Bobot'!$E$9*MAX(G371,0.000000001)^'Asumsi &amp; Bobot'!$E$10</f>
        <v>2.0628971030138525</v>
      </c>
      <c r="I371" s="26">
        <f t="shared" si="10"/>
        <v>2.1313772502352703E-3</v>
      </c>
      <c r="J371" s="18">
        <f t="shared" si="11"/>
        <v>212</v>
      </c>
    </row>
    <row r="372" spans="1:10" ht="15" customHeight="1" x14ac:dyDescent="0.35">
      <c r="A372" s="11">
        <v>370</v>
      </c>
      <c r="B372" s="8" t="str">
        <f>Normalisasi!B372</f>
        <v>Director of Operations</v>
      </c>
      <c r="C372" s="25">
        <f>Normalisasi!H372</f>
        <v>7</v>
      </c>
      <c r="D372" s="25">
        <f>Normalisasi!I372</f>
        <v>5.5</v>
      </c>
      <c r="E372" s="25">
        <f>Normalisasi!J372</f>
        <v>7.84</v>
      </c>
      <c r="F372" s="25">
        <f>Normalisasi!K372</f>
        <v>7.1159623472862004</v>
      </c>
      <c r="G372" s="25">
        <f>Normalisasi!L372</f>
        <v>1</v>
      </c>
      <c r="H372" s="27">
        <f>MAX(C372,0.000000001)^'Asumsi &amp; Bobot'!$E$6*MAX(D372,0.000000001)^'Asumsi &amp; Bobot'!$E$7*MAX(E372,0.000000001)^'Asumsi &amp; Bobot'!$E$8*MAX(F372,0.000000001)^'Asumsi &amp; Bobot'!$E$9*MAX(G372,0.000000001)^'Asumsi &amp; Bobot'!$E$10</f>
        <v>3.5556897563576833</v>
      </c>
      <c r="I372" s="27">
        <f t="shared" si="10"/>
        <v>3.6737248040744699E-3</v>
      </c>
      <c r="J372" s="22">
        <f t="shared" si="11"/>
        <v>101</v>
      </c>
    </row>
    <row r="373" spans="1:10" ht="15" customHeight="1" x14ac:dyDescent="0.35">
      <c r="A373" s="14">
        <v>371</v>
      </c>
      <c r="B373" s="17" t="str">
        <f>Normalisasi!B373</f>
        <v>Junior Project Manager</v>
      </c>
      <c r="C373" s="21">
        <f>Normalisasi!H373</f>
        <v>2.8</v>
      </c>
      <c r="D373" s="21">
        <f>Normalisasi!I373</f>
        <v>1</v>
      </c>
      <c r="E373" s="21">
        <f>Normalisasi!J373</f>
        <v>1.72</v>
      </c>
      <c r="F373" s="21">
        <f>Normalisasi!K373</f>
        <v>2.4294011616262767</v>
      </c>
      <c r="G373" s="21">
        <f>Normalisasi!L373</f>
        <v>10</v>
      </c>
      <c r="H373" s="26">
        <f>MAX(C373,0.000000001)^'Asumsi &amp; Bobot'!$E$6*MAX(D373,0.000000001)^'Asumsi &amp; Bobot'!$E$7*MAX(E373,0.000000001)^'Asumsi &amp; Bobot'!$E$8*MAX(F373,0.000000001)^'Asumsi &amp; Bobot'!$E$9*MAX(G373,0.000000001)^'Asumsi &amp; Bobot'!$E$10</f>
        <v>1.5247823537972869</v>
      </c>
      <c r="I373" s="26">
        <f t="shared" si="10"/>
        <v>1.5753991877227921E-3</v>
      </c>
      <c r="J373" s="18">
        <f t="shared" si="11"/>
        <v>302</v>
      </c>
    </row>
    <row r="374" spans="1:10" ht="15" customHeight="1" x14ac:dyDescent="0.35">
      <c r="A374" s="11">
        <v>372</v>
      </c>
      <c r="B374" s="8" t="str">
        <f>Normalisasi!B374</f>
        <v>Senior Operations Coordinator</v>
      </c>
      <c r="C374" s="25">
        <f>Normalisasi!H374</f>
        <v>4.3</v>
      </c>
      <c r="D374" s="25">
        <f>Normalisasi!I374</f>
        <v>1</v>
      </c>
      <c r="E374" s="25">
        <f>Normalisasi!J374</f>
        <v>3.52</v>
      </c>
      <c r="F374" s="25">
        <f>Normalisasi!K374</f>
        <v>4.2319246945724007</v>
      </c>
      <c r="G374" s="25">
        <f>Normalisasi!L374</f>
        <v>1</v>
      </c>
      <c r="H374" s="27">
        <f>MAX(C374,0.000000001)^'Asumsi &amp; Bobot'!$E$6*MAX(D374,0.000000001)^'Asumsi &amp; Bobot'!$E$7*MAX(E374,0.000000001)^'Asumsi &amp; Bobot'!$E$8*MAX(F374,0.000000001)^'Asumsi &amp; Bobot'!$E$9*MAX(G374,0.000000001)^'Asumsi &amp; Bobot'!$E$10</f>
        <v>1.680104086470902</v>
      </c>
      <c r="I374" s="27">
        <f t="shared" si="10"/>
        <v>1.7358769968214675E-3</v>
      </c>
      <c r="J374" s="22">
        <f t="shared" si="11"/>
        <v>272</v>
      </c>
    </row>
    <row r="375" spans="1:10" ht="15" customHeight="1" x14ac:dyDescent="0.35">
      <c r="A375" s="14">
        <v>373</v>
      </c>
      <c r="B375" s="17" t="str">
        <f>Normalisasi!B375</f>
        <v>Senior Business Analyst</v>
      </c>
      <c r="C375" s="21">
        <f>Normalisasi!H375</f>
        <v>7.3</v>
      </c>
      <c r="D375" s="21">
        <f>Normalisasi!I375</f>
        <v>10</v>
      </c>
      <c r="E375" s="21">
        <f>Normalisasi!J375</f>
        <v>6.4</v>
      </c>
      <c r="F375" s="21">
        <f>Normalisasi!K375</f>
        <v>6.3949529341077511</v>
      </c>
      <c r="G375" s="21">
        <f>Normalisasi!L375</f>
        <v>10</v>
      </c>
      <c r="H375" s="26">
        <f>MAX(C375,0.000000001)^'Asumsi &amp; Bobot'!$E$6*MAX(D375,0.000000001)^'Asumsi &amp; Bobot'!$E$7*MAX(E375,0.000000001)^'Asumsi &amp; Bobot'!$E$8*MAX(F375,0.000000001)^'Asumsi &amp; Bobot'!$E$9*MAX(G375,0.000000001)^'Asumsi &amp; Bobot'!$E$10</f>
        <v>4.64814409568746</v>
      </c>
      <c r="I375" s="26">
        <f t="shared" si="10"/>
        <v>4.8024443715053875E-3</v>
      </c>
      <c r="J375" s="18">
        <f t="shared" si="11"/>
        <v>21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38" customWidth="1"/>
    <col min="3" max="3" width="16" customWidth="1"/>
    <col min="4" max="4" width="10" customWidth="1"/>
    <col min="5" max="5" width="14" customWidth="1"/>
    <col min="6" max="6" width="12" customWidth="1"/>
    <col min="7" max="7" width="22" customWidth="1"/>
    <col min="8" max="8" width="20" customWidth="1"/>
    <col min="9" max="9" width="16" customWidth="1"/>
  </cols>
  <sheetData>
    <row r="1" spans="1:9" ht="25.5" customHeight="1" x14ac:dyDescent="0.35">
      <c r="A1" s="2" t="s">
        <v>215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35">
      <c r="A2" s="7" t="s">
        <v>214</v>
      </c>
      <c r="B2" s="7" t="s">
        <v>21</v>
      </c>
      <c r="C2" s="7" t="s">
        <v>216</v>
      </c>
      <c r="D2" s="7" t="s">
        <v>217</v>
      </c>
      <c r="E2" s="7" t="s">
        <v>23</v>
      </c>
      <c r="F2" s="7" t="s">
        <v>213</v>
      </c>
      <c r="G2" s="7" t="s">
        <v>218</v>
      </c>
      <c r="H2" s="7" t="s">
        <v>219</v>
      </c>
      <c r="I2" s="7" t="s">
        <v>220</v>
      </c>
    </row>
    <row r="3" spans="1:9" ht="15" customHeight="1" x14ac:dyDescent="0.35">
      <c r="A3" s="18">
        <f>'Vektor S &amp; V'!J3</f>
        <v>317</v>
      </c>
      <c r="B3" s="17" t="str">
        <f>'Vektor S &amp; V'!B3</f>
        <v>Software Engineer</v>
      </c>
      <c r="C3" s="14" t="str">
        <f>'Data Mentah'!C3</f>
        <v>Bachelor's</v>
      </c>
      <c r="D3" s="19">
        <f>'Data Mentah'!E3</f>
        <v>5</v>
      </c>
      <c r="E3" s="20">
        <f>'Data Mentah'!F3</f>
        <v>90000</v>
      </c>
      <c r="F3" s="26">
        <f>'Vektor S &amp; V'!I3</f>
        <v>1.5607645457112404E-3</v>
      </c>
      <c r="G3" s="14" t="str">
        <f>IF(F3&gt;='Asumsi &amp; Bobot'!$C$15,"Mendapat Bonus","Tidak Mendapat Bonus")</f>
        <v>Tidak Mendapat Bonus</v>
      </c>
      <c r="H3" s="26">
        <f t="shared" ref="H3:H66" si="0">IF(G3="Mendapat Bonus",F3/(SUMIF($G$3:$G$375,"Mendapat Bonus",$F$3:$F$375)),0)</f>
        <v>0</v>
      </c>
      <c r="I3" s="20">
        <f>IF(G3="Mendapat Bonus",H3*'Asumsi &amp; Bobot'!$C$16,0)</f>
        <v>0</v>
      </c>
    </row>
    <row r="4" spans="1:9" ht="15" customHeight="1" x14ac:dyDescent="0.35">
      <c r="A4" s="22">
        <f>'Vektor S &amp; V'!J4</f>
        <v>159</v>
      </c>
      <c r="B4" s="8" t="str">
        <f>'Vektor S &amp; V'!B4</f>
        <v>Data Analyst</v>
      </c>
      <c r="C4" s="11" t="str">
        <f>'Data Mentah'!C4</f>
        <v>Master's</v>
      </c>
      <c r="D4" s="23">
        <f>'Data Mentah'!E4</f>
        <v>3</v>
      </c>
      <c r="E4" s="24">
        <f>'Data Mentah'!F4</f>
        <v>65000</v>
      </c>
      <c r="F4" s="27">
        <f>'Vektor S &amp; V'!I4</f>
        <v>2.4786649909899218E-3</v>
      </c>
      <c r="G4" s="11" t="str">
        <f>IF(F4&gt;='Asumsi &amp; Bobot'!$C$15,"Mendapat Bonus","Tidak Mendapat Bonus")</f>
        <v>Tidak Mendapat Bonus</v>
      </c>
      <c r="H4" s="27">
        <f t="shared" si="0"/>
        <v>0</v>
      </c>
      <c r="I4" s="24">
        <f>IF(G4="Mendapat Bonus",H4*'Asumsi &amp; Bobot'!$C$16,0)</f>
        <v>0</v>
      </c>
    </row>
    <row r="5" spans="1:9" ht="15" customHeight="1" x14ac:dyDescent="0.35">
      <c r="A5" s="18">
        <f>'Vektor S &amp; V'!J5</f>
        <v>62</v>
      </c>
      <c r="B5" s="17" t="str">
        <f>'Vektor S &amp; V'!B5</f>
        <v>Senior Manager</v>
      </c>
      <c r="C5" s="14" t="str">
        <f>'Data Mentah'!C5</f>
        <v>PhD</v>
      </c>
      <c r="D5" s="19">
        <f>'Data Mentah'!E5</f>
        <v>15</v>
      </c>
      <c r="E5" s="20">
        <f>'Data Mentah'!F5</f>
        <v>150000</v>
      </c>
      <c r="F5" s="26">
        <f>'Vektor S &amp; V'!I5</f>
        <v>4.1523487554692351E-3</v>
      </c>
      <c r="G5" s="14" t="str">
        <f>IF(F5&gt;='Asumsi &amp; Bobot'!$C$15,"Mendapat Bonus","Tidak Mendapat Bonus")</f>
        <v>Mendapat Bonus</v>
      </c>
      <c r="H5" s="26">
        <f t="shared" si="0"/>
        <v>1.2563915060993623E-2</v>
      </c>
      <c r="I5" s="20">
        <f>IF(G5="Mendapat Bonus",H5*'Asumsi &amp; Bobot'!$C$16,0)</f>
        <v>628.19575304968123</v>
      </c>
    </row>
    <row r="6" spans="1:9" ht="15" customHeight="1" x14ac:dyDescent="0.35">
      <c r="A6" s="22">
        <f>'Vektor S &amp; V'!J6</f>
        <v>203</v>
      </c>
      <c r="B6" s="8" t="str">
        <f>'Vektor S &amp; V'!B6</f>
        <v>Sales Associate</v>
      </c>
      <c r="C6" s="11" t="str">
        <f>'Data Mentah'!C6</f>
        <v>Bachelor's</v>
      </c>
      <c r="D6" s="23">
        <f>'Data Mentah'!E6</f>
        <v>7</v>
      </c>
      <c r="E6" s="24">
        <f>'Data Mentah'!F6</f>
        <v>60000</v>
      </c>
      <c r="F6" s="27">
        <f>'Vektor S &amp; V'!I6</f>
        <v>2.1608298779269897E-3</v>
      </c>
      <c r="G6" s="11" t="str">
        <f>IF(F6&gt;='Asumsi &amp; Bobot'!$C$15,"Mendapat Bonus","Tidak Mendapat Bonus")</f>
        <v>Tidak Mendapat Bonus</v>
      </c>
      <c r="H6" s="27">
        <f t="shared" si="0"/>
        <v>0</v>
      </c>
      <c r="I6" s="24">
        <f>IF(G6="Mendapat Bonus",H6*'Asumsi &amp; Bobot'!$C$16,0)</f>
        <v>0</v>
      </c>
    </row>
    <row r="7" spans="1:9" ht="15" customHeight="1" x14ac:dyDescent="0.35">
      <c r="A7" s="18">
        <f>'Vektor S &amp; V'!J7</f>
        <v>80</v>
      </c>
      <c r="B7" s="17" t="str">
        <f>'Vektor S &amp; V'!B7</f>
        <v>Director</v>
      </c>
      <c r="C7" s="14" t="str">
        <f>'Data Mentah'!C7</f>
        <v>Master's</v>
      </c>
      <c r="D7" s="19">
        <f>'Data Mentah'!E7</f>
        <v>20</v>
      </c>
      <c r="E7" s="20">
        <f>'Data Mentah'!F7</f>
        <v>200000</v>
      </c>
      <c r="F7" s="26">
        <f>'Vektor S &amp; V'!I7</f>
        <v>3.9061395161010771E-3</v>
      </c>
      <c r="G7" s="14" t="str">
        <f>IF(F7&gt;='Asumsi &amp; Bobot'!$C$15,"Mendapat Bonus","Tidak Mendapat Bonus")</f>
        <v>Tidak Mendapat Bonus</v>
      </c>
      <c r="H7" s="26">
        <f t="shared" si="0"/>
        <v>0</v>
      </c>
      <c r="I7" s="20">
        <f>IF(G7="Mendapat Bonus",H7*'Asumsi &amp; Bobot'!$C$16,0)</f>
        <v>0</v>
      </c>
    </row>
    <row r="8" spans="1:9" ht="15" customHeight="1" x14ac:dyDescent="0.35">
      <c r="A8" s="22">
        <f>'Vektor S &amp; V'!J8</f>
        <v>356</v>
      </c>
      <c r="B8" s="8" t="str">
        <f>'Vektor S &amp; V'!B8</f>
        <v>Marketing Analyst</v>
      </c>
      <c r="C8" s="11" t="str">
        <f>'Data Mentah'!C8</f>
        <v>Bachelor's</v>
      </c>
      <c r="D8" s="23">
        <f>'Data Mentah'!E8</f>
        <v>2</v>
      </c>
      <c r="E8" s="24">
        <f>'Data Mentah'!F8</f>
        <v>55000</v>
      </c>
      <c r="F8" s="27">
        <f>'Vektor S &amp; V'!I8</f>
        <v>1.3154870299741379E-3</v>
      </c>
      <c r="G8" s="11" t="str">
        <f>IF(F8&gt;='Asumsi &amp; Bobot'!$C$15,"Mendapat Bonus","Tidak Mendapat Bonus")</f>
        <v>Tidak Mendapat Bonus</v>
      </c>
      <c r="H8" s="27">
        <f t="shared" si="0"/>
        <v>0</v>
      </c>
      <c r="I8" s="24">
        <f>IF(G8="Mendapat Bonus",H8*'Asumsi &amp; Bobot'!$C$16,0)</f>
        <v>0</v>
      </c>
    </row>
    <row r="9" spans="1:9" ht="15" customHeight="1" x14ac:dyDescent="0.35">
      <c r="A9" s="18">
        <f>'Vektor S &amp; V'!J9</f>
        <v>84</v>
      </c>
      <c r="B9" s="17" t="str">
        <f>'Vektor S &amp; V'!B9</f>
        <v>Product Manager</v>
      </c>
      <c r="C9" s="14" t="str">
        <f>'Data Mentah'!C9</f>
        <v>Master's</v>
      </c>
      <c r="D9" s="19">
        <f>'Data Mentah'!E9</f>
        <v>12</v>
      </c>
      <c r="E9" s="20">
        <f>'Data Mentah'!F9</f>
        <v>120000</v>
      </c>
      <c r="F9" s="26">
        <f>'Vektor S &amp; V'!I9</f>
        <v>3.8792540653081538E-3</v>
      </c>
      <c r="G9" s="14" t="str">
        <f>IF(F9&gt;='Asumsi &amp; Bobot'!$C$15,"Mendapat Bonus","Tidak Mendapat Bonus")</f>
        <v>Tidak Mendapat Bonus</v>
      </c>
      <c r="H9" s="26">
        <f t="shared" si="0"/>
        <v>0</v>
      </c>
      <c r="I9" s="20">
        <f>IF(G9="Mendapat Bonus",H9*'Asumsi &amp; Bobot'!$C$16,0)</f>
        <v>0</v>
      </c>
    </row>
    <row r="10" spans="1:9" ht="15" customHeight="1" x14ac:dyDescent="0.35">
      <c r="A10" s="22">
        <f>'Vektor S &amp; V'!J10</f>
        <v>328</v>
      </c>
      <c r="B10" s="8" t="str">
        <f>'Vektor S &amp; V'!B10</f>
        <v>Sales Manager</v>
      </c>
      <c r="C10" s="11" t="str">
        <f>'Data Mentah'!C10</f>
        <v>Bachelor's</v>
      </c>
      <c r="D10" s="23">
        <f>'Data Mentah'!E10</f>
        <v>4</v>
      </c>
      <c r="E10" s="24">
        <f>'Data Mentah'!F10</f>
        <v>80000</v>
      </c>
      <c r="F10" s="27">
        <f>'Vektor S &amp; V'!I10</f>
        <v>1.4832890149466015E-3</v>
      </c>
      <c r="G10" s="11" t="str">
        <f>IF(F10&gt;='Asumsi &amp; Bobot'!$C$15,"Mendapat Bonus","Tidak Mendapat Bonus")</f>
        <v>Tidak Mendapat Bonus</v>
      </c>
      <c r="H10" s="27">
        <f t="shared" si="0"/>
        <v>0</v>
      </c>
      <c r="I10" s="24">
        <f>IF(G10="Mendapat Bonus",H10*'Asumsi &amp; Bobot'!$C$16,0)</f>
        <v>0</v>
      </c>
    </row>
    <row r="11" spans="1:9" ht="15" customHeight="1" x14ac:dyDescent="0.35">
      <c r="A11" s="18">
        <f>'Vektor S &amp; V'!J11</f>
        <v>346</v>
      </c>
      <c r="B11" s="17" t="str">
        <f>'Vektor S &amp; V'!B11</f>
        <v>Marketing Coordinator</v>
      </c>
      <c r="C11" s="14" t="str">
        <f>'Data Mentah'!C11</f>
        <v>Bachelor's</v>
      </c>
      <c r="D11" s="19">
        <f>'Data Mentah'!E11</f>
        <v>1</v>
      </c>
      <c r="E11" s="20">
        <f>'Data Mentah'!F11</f>
        <v>45000</v>
      </c>
      <c r="F11" s="26">
        <f>'Vektor S &amp; V'!I11</f>
        <v>1.3352689074478104E-3</v>
      </c>
      <c r="G11" s="14" t="str">
        <f>IF(F11&gt;='Asumsi &amp; Bobot'!$C$15,"Mendapat Bonus","Tidak Mendapat Bonus")</f>
        <v>Tidak Mendapat Bonus</v>
      </c>
      <c r="H11" s="26">
        <f t="shared" si="0"/>
        <v>0</v>
      </c>
      <c r="I11" s="20">
        <f>IF(G11="Mendapat Bonus",H11*'Asumsi &amp; Bobot'!$C$16,0)</f>
        <v>0</v>
      </c>
    </row>
    <row r="12" spans="1:9" ht="15" customHeight="1" x14ac:dyDescent="0.35">
      <c r="A12" s="22">
        <f>'Vektor S &amp; V'!J12</f>
        <v>109</v>
      </c>
      <c r="B12" s="8" t="str">
        <f>'Vektor S &amp; V'!B12</f>
        <v>Senior Scientist</v>
      </c>
      <c r="C12" s="11" t="str">
        <f>'Data Mentah'!C12</f>
        <v>PhD</v>
      </c>
      <c r="D12" s="23">
        <f>'Data Mentah'!E12</f>
        <v>10</v>
      </c>
      <c r="E12" s="24">
        <f>'Data Mentah'!F12</f>
        <v>110000</v>
      </c>
      <c r="F12" s="27">
        <f>'Vektor S &amp; V'!I12</f>
        <v>3.6073883774168222E-3</v>
      </c>
      <c r="G12" s="11" t="str">
        <f>IF(F12&gt;='Asumsi &amp; Bobot'!$C$15,"Mendapat Bonus","Tidak Mendapat Bonus")</f>
        <v>Tidak Mendapat Bonus</v>
      </c>
      <c r="H12" s="27">
        <f t="shared" si="0"/>
        <v>0</v>
      </c>
      <c r="I12" s="24">
        <f>IF(G12="Mendapat Bonus",H12*'Asumsi &amp; Bobot'!$C$16,0)</f>
        <v>0</v>
      </c>
    </row>
    <row r="13" spans="1:9" ht="15" customHeight="1" x14ac:dyDescent="0.35">
      <c r="A13" s="18">
        <f>'Vektor S &amp; V'!J13</f>
        <v>205</v>
      </c>
      <c r="B13" s="17" t="str">
        <f>'Vektor S &amp; V'!B13</f>
        <v>Software Developer</v>
      </c>
      <c r="C13" s="14" t="str">
        <f>'Data Mentah'!C13</f>
        <v>Master's</v>
      </c>
      <c r="D13" s="19">
        <f>'Data Mentah'!E13</f>
        <v>3</v>
      </c>
      <c r="E13" s="20">
        <f>'Data Mentah'!F13</f>
        <v>75000</v>
      </c>
      <c r="F13" s="26">
        <f>'Vektor S &amp; V'!I13</f>
        <v>2.1450809820772795E-3</v>
      </c>
      <c r="G13" s="14" t="str">
        <f>IF(F13&gt;='Asumsi &amp; Bobot'!$C$15,"Mendapat Bonus","Tidak Mendapat Bonus")</f>
        <v>Tidak Mendapat Bonus</v>
      </c>
      <c r="H13" s="26">
        <f t="shared" si="0"/>
        <v>0</v>
      </c>
      <c r="I13" s="20">
        <f>IF(G13="Mendapat Bonus",H13*'Asumsi &amp; Bobot'!$C$16,0)</f>
        <v>0</v>
      </c>
    </row>
    <row r="14" spans="1:9" ht="15" customHeight="1" x14ac:dyDescent="0.35">
      <c r="A14" s="22">
        <f>'Vektor S &amp; V'!J14</f>
        <v>136</v>
      </c>
      <c r="B14" s="8" t="str">
        <f>'Vektor S &amp; V'!B14</f>
        <v>HR Manager</v>
      </c>
      <c r="C14" s="11" t="str">
        <f>'Data Mentah'!C14</f>
        <v>Bachelor's</v>
      </c>
      <c r="D14" s="23">
        <f>'Data Mentah'!E14</f>
        <v>18</v>
      </c>
      <c r="E14" s="24">
        <f>'Data Mentah'!F14</f>
        <v>140000</v>
      </c>
      <c r="F14" s="27">
        <f>'Vektor S &amp; V'!I14</f>
        <v>2.8441253654408376E-3</v>
      </c>
      <c r="G14" s="11" t="str">
        <f>IF(F14&gt;='Asumsi &amp; Bobot'!$C$15,"Mendapat Bonus","Tidak Mendapat Bonus")</f>
        <v>Tidak Mendapat Bonus</v>
      </c>
      <c r="H14" s="27">
        <f t="shared" si="0"/>
        <v>0</v>
      </c>
      <c r="I14" s="24">
        <f>IF(G14="Mendapat Bonus",H14*'Asumsi &amp; Bobot'!$C$16,0)</f>
        <v>0</v>
      </c>
    </row>
    <row r="15" spans="1:9" ht="15" customHeight="1" x14ac:dyDescent="0.35">
      <c r="A15" s="18">
        <f>'Vektor S &amp; V'!J15</f>
        <v>270</v>
      </c>
      <c r="B15" s="17" t="str">
        <f>'Vektor S &amp; V'!B15</f>
        <v>Financial Analyst</v>
      </c>
      <c r="C15" s="14" t="str">
        <f>'Data Mentah'!C15</f>
        <v>Bachelor's</v>
      </c>
      <c r="D15" s="19">
        <f>'Data Mentah'!E15</f>
        <v>6</v>
      </c>
      <c r="E15" s="20">
        <f>'Data Mentah'!F15</f>
        <v>65000</v>
      </c>
      <c r="F15" s="26">
        <f>'Vektor S &amp; V'!I15</f>
        <v>1.75237048343611E-3</v>
      </c>
      <c r="G15" s="14" t="str">
        <f>IF(F15&gt;='Asumsi &amp; Bobot'!$C$15,"Mendapat Bonus","Tidak Mendapat Bonus")</f>
        <v>Tidak Mendapat Bonus</v>
      </c>
      <c r="H15" s="26">
        <f t="shared" si="0"/>
        <v>0</v>
      </c>
      <c r="I15" s="20">
        <f>IF(G15="Mendapat Bonus",H15*'Asumsi &amp; Bobot'!$C$16,0)</f>
        <v>0</v>
      </c>
    </row>
    <row r="16" spans="1:9" ht="15" customHeight="1" x14ac:dyDescent="0.35">
      <c r="A16" s="22">
        <f>'Vektor S &amp; V'!J16</f>
        <v>75</v>
      </c>
      <c r="B16" s="8" t="str">
        <f>'Vektor S &amp; V'!B16</f>
        <v>Project Manager</v>
      </c>
      <c r="C16" s="11" t="str">
        <f>'Data Mentah'!C16</f>
        <v>Master's</v>
      </c>
      <c r="D16" s="23">
        <f>'Data Mentah'!E16</f>
        <v>14</v>
      </c>
      <c r="E16" s="24">
        <f>'Data Mentah'!F16</f>
        <v>130000</v>
      </c>
      <c r="F16" s="27">
        <f>'Vektor S &amp; V'!I16</f>
        <v>3.9370695715130848E-3</v>
      </c>
      <c r="G16" s="11" t="str">
        <f>IF(F16&gt;='Asumsi &amp; Bobot'!$C$15,"Mendapat Bonus","Tidak Mendapat Bonus")</f>
        <v>Tidak Mendapat Bonus</v>
      </c>
      <c r="H16" s="27">
        <f t="shared" si="0"/>
        <v>0</v>
      </c>
      <c r="I16" s="24">
        <f>IF(G16="Mendapat Bonus",H16*'Asumsi &amp; Bobot'!$C$16,0)</f>
        <v>0</v>
      </c>
    </row>
    <row r="17" spans="1:9" ht="15" customHeight="1" x14ac:dyDescent="0.35">
      <c r="A17" s="18">
        <f>'Vektor S &amp; V'!J17</f>
        <v>358</v>
      </c>
      <c r="B17" s="17" t="str">
        <f>'Vektor S &amp; V'!B17</f>
        <v>Customer Service Rep</v>
      </c>
      <c r="C17" s="14" t="str">
        <f>'Data Mentah'!C17</f>
        <v>Bachelor's</v>
      </c>
      <c r="D17" s="19">
        <f>'Data Mentah'!E17</f>
        <v>2</v>
      </c>
      <c r="E17" s="20">
        <f>'Data Mentah'!F17</f>
        <v>40000</v>
      </c>
      <c r="F17" s="26">
        <f>'Vektor S &amp; V'!I17</f>
        <v>1.2875878811840844E-3</v>
      </c>
      <c r="G17" s="14" t="str">
        <f>IF(F17&gt;='Asumsi &amp; Bobot'!$C$15,"Mendapat Bonus","Tidak Mendapat Bonus")</f>
        <v>Tidak Mendapat Bonus</v>
      </c>
      <c r="H17" s="26">
        <f t="shared" si="0"/>
        <v>0</v>
      </c>
      <c r="I17" s="20">
        <f>IF(G17="Mendapat Bonus",H17*'Asumsi &amp; Bobot'!$C$16,0)</f>
        <v>0</v>
      </c>
    </row>
    <row r="18" spans="1:9" ht="15" customHeight="1" x14ac:dyDescent="0.35">
      <c r="A18" s="22">
        <f>'Vektor S &amp; V'!J18</f>
        <v>177</v>
      </c>
      <c r="B18" s="8" t="str">
        <f>'Vektor S &amp; V'!B18</f>
        <v>Operations Manager</v>
      </c>
      <c r="C18" s="11" t="str">
        <f>'Data Mentah'!C18</f>
        <v>Bachelor's</v>
      </c>
      <c r="D18" s="23">
        <f>'Data Mentah'!E18</f>
        <v>16</v>
      </c>
      <c r="E18" s="24">
        <f>'Data Mentah'!F18</f>
        <v>125000</v>
      </c>
      <c r="F18" s="27">
        <f>'Vektor S &amp; V'!I18</f>
        <v>2.3165819336235607E-3</v>
      </c>
      <c r="G18" s="11" t="str">
        <f>IF(F18&gt;='Asumsi &amp; Bobot'!$C$15,"Mendapat Bonus","Tidak Mendapat Bonus")</f>
        <v>Tidak Mendapat Bonus</v>
      </c>
      <c r="H18" s="27">
        <f t="shared" si="0"/>
        <v>0</v>
      </c>
      <c r="I18" s="24">
        <f>IF(G18="Mendapat Bonus",H18*'Asumsi &amp; Bobot'!$C$16,0)</f>
        <v>0</v>
      </c>
    </row>
    <row r="19" spans="1:9" ht="15" customHeight="1" x14ac:dyDescent="0.35">
      <c r="A19" s="18">
        <f>'Vektor S &amp; V'!J19</f>
        <v>117</v>
      </c>
      <c r="B19" s="17" t="str">
        <f>'Vektor S &amp; V'!B19</f>
        <v>Marketing Manager</v>
      </c>
      <c r="C19" s="14" t="str">
        <f>'Data Mentah'!C19</f>
        <v>Master's</v>
      </c>
      <c r="D19" s="19">
        <f>'Data Mentah'!E19</f>
        <v>7</v>
      </c>
      <c r="E19" s="20">
        <f>'Data Mentah'!F19</f>
        <v>90000</v>
      </c>
      <c r="F19" s="26">
        <f>'Vektor S &amp; V'!I19</f>
        <v>3.1429246737558116E-3</v>
      </c>
      <c r="G19" s="14" t="str">
        <f>IF(F19&gt;='Asumsi &amp; Bobot'!$C$15,"Mendapat Bonus","Tidak Mendapat Bonus")</f>
        <v>Tidak Mendapat Bonus</v>
      </c>
      <c r="H19" s="26">
        <f t="shared" si="0"/>
        <v>0</v>
      </c>
      <c r="I19" s="20">
        <f>IF(G19="Mendapat Bonus",H19*'Asumsi &amp; Bobot'!$C$16,0)</f>
        <v>0</v>
      </c>
    </row>
    <row r="20" spans="1:9" ht="15" customHeight="1" x14ac:dyDescent="0.35">
      <c r="A20" s="22">
        <f>'Vektor S &amp; V'!J20</f>
        <v>90</v>
      </c>
      <c r="B20" s="8" t="str">
        <f>'Vektor S &amp; V'!B20</f>
        <v>Senior Engineer</v>
      </c>
      <c r="C20" s="11" t="str">
        <f>'Data Mentah'!C20</f>
        <v>PhD</v>
      </c>
      <c r="D20" s="23">
        <f>'Data Mentah'!E20</f>
        <v>12</v>
      </c>
      <c r="E20" s="24">
        <f>'Data Mentah'!F20</f>
        <v>115000</v>
      </c>
      <c r="F20" s="27">
        <f>'Vektor S &amp; V'!I20</f>
        <v>3.8087923607531644E-3</v>
      </c>
      <c r="G20" s="11" t="str">
        <f>IF(F20&gt;='Asumsi &amp; Bobot'!$C$15,"Mendapat Bonus","Tidak Mendapat Bonus")</f>
        <v>Tidak Mendapat Bonus</v>
      </c>
      <c r="H20" s="27">
        <f t="shared" si="0"/>
        <v>0</v>
      </c>
      <c r="I20" s="24">
        <f>IF(G20="Mendapat Bonus",H20*'Asumsi &amp; Bobot'!$C$16,0)</f>
        <v>0</v>
      </c>
    </row>
    <row r="21" spans="1:9" ht="15" customHeight="1" x14ac:dyDescent="0.35">
      <c r="A21" s="18">
        <f>'Vektor S &amp; V'!J21</f>
        <v>367</v>
      </c>
      <c r="B21" s="17" t="str">
        <f>'Vektor S &amp; V'!B21</f>
        <v>Data Entry Clerk</v>
      </c>
      <c r="C21" s="14" t="str">
        <f>'Data Mentah'!C21</f>
        <v>Bachelor's</v>
      </c>
      <c r="D21" s="19">
        <f>'Data Mentah'!E21</f>
        <v>0</v>
      </c>
      <c r="E21" s="20">
        <f>'Data Mentah'!F21</f>
        <v>35000</v>
      </c>
      <c r="F21" s="26">
        <f>'Vektor S &amp; V'!I21</f>
        <v>1.187784529542546E-3</v>
      </c>
      <c r="G21" s="14" t="str">
        <f>IF(F21&gt;='Asumsi &amp; Bobot'!$C$15,"Mendapat Bonus","Tidak Mendapat Bonus")</f>
        <v>Tidak Mendapat Bonus</v>
      </c>
      <c r="H21" s="26">
        <f t="shared" si="0"/>
        <v>0</v>
      </c>
      <c r="I21" s="20">
        <f>IF(G21="Mendapat Bonus",H21*'Asumsi &amp; Bobot'!$C$16,0)</f>
        <v>0</v>
      </c>
    </row>
    <row r="22" spans="1:9" ht="15" customHeight="1" x14ac:dyDescent="0.35">
      <c r="A22" s="22">
        <f>'Vektor S &amp; V'!J22</f>
        <v>147</v>
      </c>
      <c r="B22" s="8" t="str">
        <f>'Vektor S &amp; V'!B22</f>
        <v>Sales Director</v>
      </c>
      <c r="C22" s="11" t="str">
        <f>'Data Mentah'!C22</f>
        <v>Bachelor's</v>
      </c>
      <c r="D22" s="23">
        <f>'Data Mentah'!E22</f>
        <v>22</v>
      </c>
      <c r="E22" s="24">
        <f>'Data Mentah'!F22</f>
        <v>180000</v>
      </c>
      <c r="F22" s="27">
        <f>'Vektor S &amp; V'!I22</f>
        <v>2.5650968003328094E-3</v>
      </c>
      <c r="G22" s="11" t="str">
        <f>IF(F22&gt;='Asumsi &amp; Bobot'!$C$15,"Mendapat Bonus","Tidak Mendapat Bonus")</f>
        <v>Tidak Mendapat Bonus</v>
      </c>
      <c r="H22" s="27">
        <f t="shared" si="0"/>
        <v>0</v>
      </c>
      <c r="I22" s="24">
        <f>IF(G22="Mendapat Bonus",H22*'Asumsi &amp; Bobot'!$C$16,0)</f>
        <v>0</v>
      </c>
    </row>
    <row r="23" spans="1:9" ht="15" customHeight="1" x14ac:dyDescent="0.35">
      <c r="A23" s="18">
        <f>'Vektor S &amp; V'!J23</f>
        <v>128</v>
      </c>
      <c r="B23" s="17" t="str">
        <f>'Vektor S &amp; V'!B23</f>
        <v>Business Analyst</v>
      </c>
      <c r="C23" s="14" t="str">
        <f>'Data Mentah'!C23</f>
        <v>Master's</v>
      </c>
      <c r="D23" s="19">
        <f>'Data Mentah'!E23</f>
        <v>5</v>
      </c>
      <c r="E23" s="20">
        <f>'Data Mentah'!F23</f>
        <v>80000</v>
      </c>
      <c r="F23" s="26">
        <f>'Vektor S &amp; V'!I23</f>
        <v>2.9898069032678405E-3</v>
      </c>
      <c r="G23" s="14" t="str">
        <f>IF(F23&gt;='Asumsi &amp; Bobot'!$C$15,"Mendapat Bonus","Tidak Mendapat Bonus")</f>
        <v>Tidak Mendapat Bonus</v>
      </c>
      <c r="H23" s="26">
        <f t="shared" si="0"/>
        <v>0</v>
      </c>
      <c r="I23" s="20">
        <f>IF(G23="Mendapat Bonus",H23*'Asumsi &amp; Bobot'!$C$16,0)</f>
        <v>0</v>
      </c>
    </row>
    <row r="24" spans="1:9" ht="15" customHeight="1" x14ac:dyDescent="0.35">
      <c r="A24" s="22">
        <f>'Vektor S &amp; V'!J24</f>
        <v>96</v>
      </c>
      <c r="B24" s="8" t="str">
        <f>'Vektor S &amp; V'!B24</f>
        <v>VP of Operations</v>
      </c>
      <c r="C24" s="11" t="str">
        <f>'Data Mentah'!C24</f>
        <v>Master's</v>
      </c>
      <c r="D24" s="23">
        <f>'Data Mentah'!E24</f>
        <v>19</v>
      </c>
      <c r="E24" s="24">
        <f>'Data Mentah'!F24</f>
        <v>190000</v>
      </c>
      <c r="F24" s="27">
        <f>'Vektor S &amp; V'!I24</f>
        <v>3.7433562843893521E-3</v>
      </c>
      <c r="G24" s="11" t="str">
        <f>IF(F24&gt;='Asumsi &amp; Bobot'!$C$15,"Mendapat Bonus","Tidak Mendapat Bonus")</f>
        <v>Tidak Mendapat Bonus</v>
      </c>
      <c r="H24" s="27">
        <f t="shared" si="0"/>
        <v>0</v>
      </c>
      <c r="I24" s="24">
        <f>IF(G24="Mendapat Bonus",H24*'Asumsi &amp; Bobot'!$C$16,0)</f>
        <v>0</v>
      </c>
    </row>
    <row r="25" spans="1:9" ht="15" customHeight="1" x14ac:dyDescent="0.35">
      <c r="A25" s="18">
        <f>'Vektor S &amp; V'!J25</f>
        <v>343</v>
      </c>
      <c r="B25" s="17" t="str">
        <f>'Vektor S &amp; V'!B25</f>
        <v>IT Support</v>
      </c>
      <c r="C25" s="14" t="str">
        <f>'Data Mentah'!C25</f>
        <v>Bachelor's</v>
      </c>
      <c r="D25" s="19">
        <f>'Data Mentah'!E25</f>
        <v>2</v>
      </c>
      <c r="E25" s="20">
        <f>'Data Mentah'!F25</f>
        <v>50000</v>
      </c>
      <c r="F25" s="26">
        <f>'Vektor S &amp; V'!I25</f>
        <v>1.3537941745365672E-3</v>
      </c>
      <c r="G25" s="14" t="str">
        <f>IF(F25&gt;='Asumsi &amp; Bobot'!$C$15,"Mendapat Bonus","Tidak Mendapat Bonus")</f>
        <v>Tidak Mendapat Bonus</v>
      </c>
      <c r="H25" s="26">
        <f t="shared" si="0"/>
        <v>0</v>
      </c>
      <c r="I25" s="20">
        <f>IF(G25="Mendapat Bonus",H25*'Asumsi &amp; Bobot'!$C$16,0)</f>
        <v>0</v>
      </c>
    </row>
    <row r="26" spans="1:9" ht="15" customHeight="1" x14ac:dyDescent="0.35">
      <c r="A26" s="22">
        <f>'Vektor S &amp; V'!J26</f>
        <v>179</v>
      </c>
      <c r="B26" s="8" t="str">
        <f>'Vektor S &amp; V'!B26</f>
        <v>Recruiter</v>
      </c>
      <c r="C26" s="11" t="str">
        <f>'Data Mentah'!C26</f>
        <v>Bachelor's</v>
      </c>
      <c r="D26" s="23">
        <f>'Data Mentah'!E26</f>
        <v>9</v>
      </c>
      <c r="E26" s="24">
        <f>'Data Mentah'!F26</f>
        <v>60000</v>
      </c>
      <c r="F26" s="27">
        <f>'Vektor S &amp; V'!I26</f>
        <v>2.2991200065255743E-3</v>
      </c>
      <c r="G26" s="11" t="str">
        <f>IF(F26&gt;='Asumsi &amp; Bobot'!$C$15,"Mendapat Bonus","Tidak Mendapat Bonus")</f>
        <v>Tidak Mendapat Bonus</v>
      </c>
      <c r="H26" s="27">
        <f t="shared" si="0"/>
        <v>0</v>
      </c>
      <c r="I26" s="24">
        <f>IF(G26="Mendapat Bonus",H26*'Asumsi &amp; Bobot'!$C$16,0)</f>
        <v>0</v>
      </c>
    </row>
    <row r="27" spans="1:9" ht="15" customHeight="1" x14ac:dyDescent="0.35">
      <c r="A27" s="18">
        <f>'Vektor S &amp; V'!J27</f>
        <v>116</v>
      </c>
      <c r="B27" s="17" t="str">
        <f>'Vektor S &amp; V'!B27</f>
        <v>Financial Manager</v>
      </c>
      <c r="C27" s="14" t="str">
        <f>'Data Mentah'!C27</f>
        <v>Master's</v>
      </c>
      <c r="D27" s="19">
        <f>'Data Mentah'!E27</f>
        <v>13</v>
      </c>
      <c r="E27" s="20">
        <f>'Data Mentah'!F27</f>
        <v>140000</v>
      </c>
      <c r="F27" s="26">
        <f>'Vektor S &amp; V'!I27</f>
        <v>3.3129374920559118E-3</v>
      </c>
      <c r="G27" s="14" t="str">
        <f>IF(F27&gt;='Asumsi &amp; Bobot'!$C$15,"Mendapat Bonus","Tidak Mendapat Bonus")</f>
        <v>Tidak Mendapat Bonus</v>
      </c>
      <c r="H27" s="26">
        <f t="shared" si="0"/>
        <v>0</v>
      </c>
      <c r="I27" s="20">
        <f>IF(G27="Mendapat Bonus",H27*'Asumsi &amp; Bobot'!$C$16,0)</f>
        <v>0</v>
      </c>
    </row>
    <row r="28" spans="1:9" ht="15" customHeight="1" x14ac:dyDescent="0.35">
      <c r="A28" s="22">
        <f>'Vektor S &amp; V'!J28</f>
        <v>296</v>
      </c>
      <c r="B28" s="8" t="str">
        <f>'Vektor S &amp; V'!B28</f>
        <v>Social Media Specialist</v>
      </c>
      <c r="C28" s="11" t="str">
        <f>'Data Mentah'!C28</f>
        <v>Bachelor's</v>
      </c>
      <c r="D28" s="23">
        <f>'Data Mentah'!E28</f>
        <v>3</v>
      </c>
      <c r="E28" s="24">
        <f>'Data Mentah'!F28</f>
        <v>45000</v>
      </c>
      <c r="F28" s="27">
        <f>'Vektor S &amp; V'!I28</f>
        <v>1.6252274916260254E-3</v>
      </c>
      <c r="G28" s="11" t="str">
        <f>IF(F28&gt;='Asumsi &amp; Bobot'!$C$15,"Mendapat Bonus","Tidak Mendapat Bonus")</f>
        <v>Tidak Mendapat Bonus</v>
      </c>
      <c r="H28" s="27">
        <f t="shared" si="0"/>
        <v>0</v>
      </c>
      <c r="I28" s="24">
        <f>IF(G28="Mendapat Bonus",H28*'Asumsi &amp; Bobot'!$C$16,0)</f>
        <v>0</v>
      </c>
    </row>
    <row r="29" spans="1:9" ht="15" customHeight="1" x14ac:dyDescent="0.35">
      <c r="A29" s="18">
        <f>'Vektor S &amp; V'!J29</f>
        <v>105</v>
      </c>
      <c r="B29" s="17" t="str">
        <f>'Vektor S &amp; V'!B29</f>
        <v>Software Manager</v>
      </c>
      <c r="C29" s="14" t="str">
        <f>'Data Mentah'!C29</f>
        <v>Master's</v>
      </c>
      <c r="D29" s="19">
        <f>'Data Mentah'!E29</f>
        <v>11</v>
      </c>
      <c r="E29" s="20">
        <f>'Data Mentah'!F29</f>
        <v>110000</v>
      </c>
      <c r="F29" s="26">
        <f>'Vektor S &amp; V'!I29</f>
        <v>3.6362943514810621E-3</v>
      </c>
      <c r="G29" s="14" t="str">
        <f>IF(F29&gt;='Asumsi &amp; Bobot'!$C$15,"Mendapat Bonus","Tidak Mendapat Bonus")</f>
        <v>Tidak Mendapat Bonus</v>
      </c>
      <c r="H29" s="26">
        <f t="shared" si="0"/>
        <v>0</v>
      </c>
      <c r="I29" s="20">
        <f>IF(G29="Mendapat Bonus",H29*'Asumsi &amp; Bobot'!$C$16,0)</f>
        <v>0</v>
      </c>
    </row>
    <row r="30" spans="1:9" ht="15" customHeight="1" x14ac:dyDescent="0.35">
      <c r="A30" s="22">
        <f>'Vektor S &amp; V'!J30</f>
        <v>371</v>
      </c>
      <c r="B30" s="8" t="str">
        <f>'Vektor S &amp; V'!B30</f>
        <v>Junior Developer</v>
      </c>
      <c r="C30" s="11" t="str">
        <f>'Data Mentah'!C30</f>
        <v>Bachelor's</v>
      </c>
      <c r="D30" s="23">
        <f>'Data Mentah'!E30</f>
        <v>1</v>
      </c>
      <c r="E30" s="24">
        <f>'Data Mentah'!F30</f>
        <v>40000</v>
      </c>
      <c r="F30" s="27">
        <f>'Vektor S &amp; V'!I30</f>
        <v>1.071727814028186E-3</v>
      </c>
      <c r="G30" s="11" t="str">
        <f>IF(F30&gt;='Asumsi &amp; Bobot'!$C$15,"Mendapat Bonus","Tidak Mendapat Bonus")</f>
        <v>Tidak Mendapat Bonus</v>
      </c>
      <c r="H30" s="27">
        <f t="shared" si="0"/>
        <v>0</v>
      </c>
      <c r="I30" s="24">
        <f>IF(G30="Mendapat Bonus",H30*'Asumsi &amp; Bobot'!$C$16,0)</f>
        <v>0</v>
      </c>
    </row>
    <row r="31" spans="1:9" ht="15" customHeight="1" x14ac:dyDescent="0.35">
      <c r="A31" s="18">
        <f>'Vektor S &amp; V'!J31</f>
        <v>26</v>
      </c>
      <c r="B31" s="17" t="str">
        <f>'Vektor S &amp; V'!B31</f>
        <v>Senior Consultant</v>
      </c>
      <c r="C31" s="14" t="str">
        <f>'Data Mentah'!C31</f>
        <v>PhD</v>
      </c>
      <c r="D31" s="19">
        <f>'Data Mentah'!E31</f>
        <v>15</v>
      </c>
      <c r="E31" s="20">
        <f>'Data Mentah'!F31</f>
        <v>140000</v>
      </c>
      <c r="F31" s="26">
        <f>'Vektor S &amp; V'!I31</f>
        <v>4.7992939484178604E-3</v>
      </c>
      <c r="G31" s="14" t="str">
        <f>IF(F31&gt;='Asumsi &amp; Bobot'!$C$15,"Mendapat Bonus","Tidak Mendapat Bonus")</f>
        <v>Mendapat Bonus</v>
      </c>
      <c r="H31" s="26">
        <f t="shared" si="0"/>
        <v>1.4521401036278987E-2</v>
      </c>
      <c r="I31" s="20">
        <f>IF(G31="Mendapat Bonus",H31*'Asumsi &amp; Bobot'!$C$16,0)</f>
        <v>726.07005181394936</v>
      </c>
    </row>
    <row r="32" spans="1:9" ht="15" customHeight="1" x14ac:dyDescent="0.35">
      <c r="A32" s="22">
        <f>'Vektor S &amp; V'!J32</f>
        <v>145</v>
      </c>
      <c r="B32" s="8" t="str">
        <f>'Vektor S &amp; V'!B32</f>
        <v>Product Designer</v>
      </c>
      <c r="C32" s="11" t="str">
        <f>'Data Mentah'!C32</f>
        <v>Master's</v>
      </c>
      <c r="D32" s="23">
        <f>'Data Mentah'!E32</f>
        <v>6</v>
      </c>
      <c r="E32" s="24">
        <f>'Data Mentah'!F32</f>
        <v>90000</v>
      </c>
      <c r="F32" s="27">
        <f>'Vektor S &amp; V'!I32</f>
        <v>2.6004516226774514E-3</v>
      </c>
      <c r="G32" s="11" t="str">
        <f>IF(F32&gt;='Asumsi &amp; Bobot'!$C$15,"Mendapat Bonus","Tidak Mendapat Bonus")</f>
        <v>Tidak Mendapat Bonus</v>
      </c>
      <c r="H32" s="27">
        <f t="shared" si="0"/>
        <v>0</v>
      </c>
      <c r="I32" s="24">
        <f>IF(G32="Mendapat Bonus",H32*'Asumsi &amp; Bobot'!$C$16,0)</f>
        <v>0</v>
      </c>
    </row>
    <row r="33" spans="1:9" ht="15" customHeight="1" x14ac:dyDescent="0.35">
      <c r="A33" s="18">
        <f>'Vektor S &amp; V'!J33</f>
        <v>149</v>
      </c>
      <c r="B33" s="17" t="str">
        <f>'Vektor S &amp; V'!B33</f>
        <v>CEO</v>
      </c>
      <c r="C33" s="14" t="str">
        <f>'Data Mentah'!C33</f>
        <v>Bachelor's</v>
      </c>
      <c r="D33" s="19">
        <f>'Data Mentah'!E33</f>
        <v>25</v>
      </c>
      <c r="E33" s="20">
        <f>'Data Mentah'!F33</f>
        <v>250000</v>
      </c>
      <c r="F33" s="26">
        <f>'Vektor S &amp; V'!I33</f>
        <v>2.5467776997472485E-3</v>
      </c>
      <c r="G33" s="14" t="str">
        <f>IF(F33&gt;='Asumsi &amp; Bobot'!$C$15,"Mendapat Bonus","Tidak Mendapat Bonus")</f>
        <v>Tidak Mendapat Bonus</v>
      </c>
      <c r="H33" s="26">
        <f t="shared" si="0"/>
        <v>0</v>
      </c>
      <c r="I33" s="20">
        <f>IF(G33="Mendapat Bonus",H33*'Asumsi &amp; Bobot'!$C$16,0)</f>
        <v>0</v>
      </c>
    </row>
    <row r="34" spans="1:9" ht="15" customHeight="1" x14ac:dyDescent="0.35">
      <c r="A34" s="22">
        <f>'Vektor S &amp; V'!J34</f>
        <v>263</v>
      </c>
      <c r="B34" s="8" t="str">
        <f>'Vektor S &amp; V'!B34</f>
        <v>Accountant</v>
      </c>
      <c r="C34" s="11" t="str">
        <f>'Data Mentah'!C34</f>
        <v>Bachelor's</v>
      </c>
      <c r="D34" s="23">
        <f>'Data Mentah'!E34</f>
        <v>4</v>
      </c>
      <c r="E34" s="24">
        <f>'Data Mentah'!F34</f>
        <v>55000</v>
      </c>
      <c r="F34" s="27">
        <f>'Vektor S &amp; V'!I34</f>
        <v>1.7915868830712324E-3</v>
      </c>
      <c r="G34" s="11" t="str">
        <f>IF(F34&gt;='Asumsi &amp; Bobot'!$C$15,"Mendapat Bonus","Tidak Mendapat Bonus")</f>
        <v>Tidak Mendapat Bonus</v>
      </c>
      <c r="H34" s="27">
        <f t="shared" si="0"/>
        <v>0</v>
      </c>
      <c r="I34" s="24">
        <f>IF(G34="Mendapat Bonus",H34*'Asumsi &amp; Bobot'!$C$16,0)</f>
        <v>0</v>
      </c>
    </row>
    <row r="35" spans="1:9" ht="15" customHeight="1" x14ac:dyDescent="0.35">
      <c r="A35" s="18">
        <f>'Vektor S &amp; V'!J35</f>
        <v>205</v>
      </c>
      <c r="B35" s="17" t="str">
        <f>'Vektor S &amp; V'!B35</f>
        <v>Data Scientist</v>
      </c>
      <c r="C35" s="14" t="str">
        <f>'Data Mentah'!C35</f>
        <v>Master's</v>
      </c>
      <c r="D35" s="19">
        <f>'Data Mentah'!E35</f>
        <v>3</v>
      </c>
      <c r="E35" s="20">
        <f>'Data Mentah'!F35</f>
        <v>75000</v>
      </c>
      <c r="F35" s="26">
        <f>'Vektor S &amp; V'!I35</f>
        <v>2.1450809820772795E-3</v>
      </c>
      <c r="G35" s="14" t="str">
        <f>IF(F35&gt;='Asumsi &amp; Bobot'!$C$15,"Mendapat Bonus","Tidak Mendapat Bonus")</f>
        <v>Tidak Mendapat Bonus</v>
      </c>
      <c r="H35" s="26">
        <f t="shared" si="0"/>
        <v>0</v>
      </c>
      <c r="I35" s="20">
        <f>IF(G35="Mendapat Bonus",H35*'Asumsi &amp; Bobot'!$C$16,0)</f>
        <v>0</v>
      </c>
    </row>
    <row r="36" spans="1:9" ht="15" customHeight="1" x14ac:dyDescent="0.35">
      <c r="A36" s="22">
        <f>'Vektor S &amp; V'!J36</f>
        <v>170</v>
      </c>
      <c r="B36" s="8" t="str">
        <f>'Vektor S &amp; V'!B36</f>
        <v>Marketing Specialist</v>
      </c>
      <c r="C36" s="11" t="str">
        <f>'Data Mentah'!C36</f>
        <v>Bachelor's</v>
      </c>
      <c r="D36" s="23">
        <f>'Data Mentah'!E36</f>
        <v>10</v>
      </c>
      <c r="E36" s="24">
        <f>'Data Mentah'!F36</f>
        <v>65000</v>
      </c>
      <c r="F36" s="27">
        <f>'Vektor S &amp; V'!I36</f>
        <v>2.4254009581384686E-3</v>
      </c>
      <c r="G36" s="11" t="str">
        <f>IF(F36&gt;='Asumsi &amp; Bobot'!$C$15,"Mendapat Bonus","Tidak Mendapat Bonus")</f>
        <v>Tidak Mendapat Bonus</v>
      </c>
      <c r="H36" s="27">
        <f t="shared" si="0"/>
        <v>0</v>
      </c>
      <c r="I36" s="24">
        <f>IF(G36="Mendapat Bonus",H36*'Asumsi &amp; Bobot'!$C$16,0)</f>
        <v>0</v>
      </c>
    </row>
    <row r="37" spans="1:9" ht="15" customHeight="1" x14ac:dyDescent="0.35">
      <c r="A37" s="18">
        <f>'Vektor S &amp; V'!J37</f>
        <v>46</v>
      </c>
      <c r="B37" s="17" t="str">
        <f>'Vektor S &amp; V'!B37</f>
        <v>Senior Manager</v>
      </c>
      <c r="C37" s="14" t="str">
        <f>'Data Mentah'!C37</f>
        <v>PhD</v>
      </c>
      <c r="D37" s="19">
        <f>'Data Mentah'!E37</f>
        <v>20</v>
      </c>
      <c r="E37" s="20">
        <f>'Data Mentah'!F37</f>
        <v>170000</v>
      </c>
      <c r="F37" s="26">
        <f>'Vektor S &amp; V'!I37</f>
        <v>4.4807252042790083E-3</v>
      </c>
      <c r="G37" s="14" t="str">
        <f>IF(F37&gt;='Asumsi &amp; Bobot'!$C$15,"Mendapat Bonus","Tidak Mendapat Bonus")</f>
        <v>Mendapat Bonus</v>
      </c>
      <c r="H37" s="26">
        <f t="shared" si="0"/>
        <v>1.3557495815847748E-2</v>
      </c>
      <c r="I37" s="20">
        <f>IF(G37="Mendapat Bonus",H37*'Asumsi &amp; Bobot'!$C$16,0)</f>
        <v>677.87479079238744</v>
      </c>
    </row>
    <row r="38" spans="1:9" ht="15" customHeight="1" x14ac:dyDescent="0.35">
      <c r="A38" s="22">
        <f>'Vektor S &amp; V'!J38</f>
        <v>361</v>
      </c>
      <c r="B38" s="8" t="str">
        <f>'Vektor S &amp; V'!B38</f>
        <v>Technical Writer</v>
      </c>
      <c r="C38" s="11" t="str">
        <f>'Data Mentah'!C38</f>
        <v>Bachelor's</v>
      </c>
      <c r="D38" s="23">
        <f>'Data Mentah'!E38</f>
        <v>2</v>
      </c>
      <c r="E38" s="24">
        <f>'Data Mentah'!F38</f>
        <v>45000</v>
      </c>
      <c r="F38" s="27">
        <f>'Vektor S &amp; V'!I38</f>
        <v>1.2753588449517493E-3</v>
      </c>
      <c r="G38" s="11" t="str">
        <f>IF(F38&gt;='Asumsi &amp; Bobot'!$C$15,"Mendapat Bonus","Tidak Mendapat Bonus")</f>
        <v>Tidak Mendapat Bonus</v>
      </c>
      <c r="H38" s="27">
        <f t="shared" si="0"/>
        <v>0</v>
      </c>
      <c r="I38" s="24">
        <f>IF(G38="Mendapat Bonus",H38*'Asumsi &amp; Bobot'!$C$16,0)</f>
        <v>0</v>
      </c>
    </row>
    <row r="39" spans="1:9" ht="15" customHeight="1" x14ac:dyDescent="0.35">
      <c r="A39" s="18">
        <f>'Vektor S &amp; V'!J39</f>
        <v>210</v>
      </c>
      <c r="B39" s="17" t="str">
        <f>'Vektor S &amp; V'!B39</f>
        <v>HR Generalist</v>
      </c>
      <c r="C39" s="14" t="str">
        <f>'Data Mentah'!C39</f>
        <v>Bachelor's</v>
      </c>
      <c r="D39" s="19">
        <f>'Data Mentah'!E39</f>
        <v>7</v>
      </c>
      <c r="E39" s="20">
        <f>'Data Mentah'!F39</f>
        <v>60000</v>
      </c>
      <c r="F39" s="26">
        <f>'Vektor S &amp; V'!I39</f>
        <v>2.1336978842242736E-3</v>
      </c>
      <c r="G39" s="14" t="str">
        <f>IF(F39&gt;='Asumsi &amp; Bobot'!$C$15,"Mendapat Bonus","Tidak Mendapat Bonus")</f>
        <v>Tidak Mendapat Bonus</v>
      </c>
      <c r="H39" s="26">
        <f t="shared" si="0"/>
        <v>0</v>
      </c>
      <c r="I39" s="20">
        <f>IF(G39="Mendapat Bonus",H39*'Asumsi &amp; Bobot'!$C$16,0)</f>
        <v>0</v>
      </c>
    </row>
    <row r="40" spans="1:9" ht="15" customHeight="1" x14ac:dyDescent="0.35">
      <c r="A40" s="22">
        <f>'Vektor S &amp; V'!J40</f>
        <v>113</v>
      </c>
      <c r="B40" s="8" t="str">
        <f>'Vektor S &amp; V'!B40</f>
        <v>Project Engineer</v>
      </c>
      <c r="C40" s="11" t="str">
        <f>'Data Mentah'!C40</f>
        <v>Master's</v>
      </c>
      <c r="D40" s="23">
        <f>'Data Mentah'!E40</f>
        <v>14</v>
      </c>
      <c r="E40" s="24">
        <f>'Data Mentah'!F40</f>
        <v>115000</v>
      </c>
      <c r="F40" s="27">
        <f>'Vektor S &amp; V'!I40</f>
        <v>3.4870256758672532E-3</v>
      </c>
      <c r="G40" s="11" t="str">
        <f>IF(F40&gt;='Asumsi &amp; Bobot'!$C$15,"Mendapat Bonus","Tidak Mendapat Bonus")</f>
        <v>Tidak Mendapat Bonus</v>
      </c>
      <c r="H40" s="27">
        <f t="shared" si="0"/>
        <v>0</v>
      </c>
      <c r="I40" s="24">
        <f>IF(G40="Mendapat Bonus",H40*'Asumsi &amp; Bobot'!$C$16,0)</f>
        <v>0</v>
      </c>
    </row>
    <row r="41" spans="1:9" ht="15" customHeight="1" x14ac:dyDescent="0.35">
      <c r="A41" s="18">
        <f>'Vektor S &amp; V'!J41</f>
        <v>345</v>
      </c>
      <c r="B41" s="17" t="str">
        <f>'Vektor S &amp; V'!B41</f>
        <v>Customer Success Rep</v>
      </c>
      <c r="C41" s="14" t="str">
        <f>'Data Mentah'!C41</f>
        <v>Bachelor's</v>
      </c>
      <c r="D41" s="19">
        <f>'Data Mentah'!E41</f>
        <v>1</v>
      </c>
      <c r="E41" s="20">
        <f>'Data Mentah'!F41</f>
        <v>40000</v>
      </c>
      <c r="F41" s="26">
        <f>'Vektor S &amp; V'!I41</f>
        <v>1.3480724034314901E-3</v>
      </c>
      <c r="G41" s="14" t="str">
        <f>IF(F41&gt;='Asumsi &amp; Bobot'!$C$15,"Mendapat Bonus","Tidak Mendapat Bonus")</f>
        <v>Tidak Mendapat Bonus</v>
      </c>
      <c r="H41" s="26">
        <f t="shared" si="0"/>
        <v>0</v>
      </c>
      <c r="I41" s="20">
        <f>IF(G41="Mendapat Bonus",H41*'Asumsi &amp; Bobot'!$C$16,0)</f>
        <v>0</v>
      </c>
    </row>
    <row r="42" spans="1:9" ht="15" customHeight="1" x14ac:dyDescent="0.35">
      <c r="A42" s="22">
        <f>'Vektor S &amp; V'!J42</f>
        <v>153</v>
      </c>
      <c r="B42" s="8" t="str">
        <f>'Vektor S &amp; V'!B42</f>
        <v>Sales Executive</v>
      </c>
      <c r="C42" s="11" t="str">
        <f>'Data Mentah'!C42</f>
        <v>Bachelor's</v>
      </c>
      <c r="D42" s="23">
        <f>'Data Mentah'!E42</f>
        <v>21</v>
      </c>
      <c r="E42" s="24">
        <f>'Data Mentah'!F42</f>
        <v>160000</v>
      </c>
      <c r="F42" s="27">
        <f>'Vektor S &amp; V'!I42</f>
        <v>2.5309481371643731E-3</v>
      </c>
      <c r="G42" s="11" t="str">
        <f>IF(F42&gt;='Asumsi &amp; Bobot'!$C$15,"Mendapat Bonus","Tidak Mendapat Bonus")</f>
        <v>Tidak Mendapat Bonus</v>
      </c>
      <c r="H42" s="27">
        <f t="shared" si="0"/>
        <v>0</v>
      </c>
      <c r="I42" s="24">
        <f>IF(G42="Mendapat Bonus",H42*'Asumsi &amp; Bobot'!$C$16,0)</f>
        <v>0</v>
      </c>
    </row>
    <row r="43" spans="1:9" ht="15" customHeight="1" x14ac:dyDescent="0.35">
      <c r="A43" s="18">
        <f>'Vektor S &amp; V'!J43</f>
        <v>128</v>
      </c>
      <c r="B43" s="17" t="str">
        <f>'Vektor S &amp; V'!B43</f>
        <v>UX Designer</v>
      </c>
      <c r="C43" s="14" t="str">
        <f>'Data Mentah'!C43</f>
        <v>Master's</v>
      </c>
      <c r="D43" s="19">
        <f>'Data Mentah'!E43</f>
        <v>5</v>
      </c>
      <c r="E43" s="20">
        <f>'Data Mentah'!F43</f>
        <v>80000</v>
      </c>
      <c r="F43" s="26">
        <f>'Vektor S &amp; V'!I43</f>
        <v>2.9898069032678405E-3</v>
      </c>
      <c r="G43" s="14" t="str">
        <f>IF(F43&gt;='Asumsi &amp; Bobot'!$C$15,"Mendapat Bonus","Tidak Mendapat Bonus")</f>
        <v>Tidak Mendapat Bonus</v>
      </c>
      <c r="H43" s="26">
        <f t="shared" si="0"/>
        <v>0</v>
      </c>
      <c r="I43" s="20">
        <f>IF(G43="Mendapat Bonus",H43*'Asumsi &amp; Bobot'!$C$16,0)</f>
        <v>0</v>
      </c>
    </row>
    <row r="44" spans="1:9" ht="15" customHeight="1" x14ac:dyDescent="0.35">
      <c r="A44" s="22">
        <f>'Vektor S &amp; V'!J44</f>
        <v>99</v>
      </c>
      <c r="B44" s="8" t="str">
        <f>'Vektor S &amp; V'!B44</f>
        <v>Operations Director</v>
      </c>
      <c r="C44" s="11" t="str">
        <f>'Data Mentah'!C44</f>
        <v>Master's</v>
      </c>
      <c r="D44" s="23">
        <f>'Data Mentah'!E44</f>
        <v>18</v>
      </c>
      <c r="E44" s="24">
        <f>'Data Mentah'!F44</f>
        <v>190000</v>
      </c>
      <c r="F44" s="27">
        <f>'Vektor S &amp; V'!I44</f>
        <v>3.7117383777130939E-3</v>
      </c>
      <c r="G44" s="11" t="str">
        <f>IF(F44&gt;='Asumsi &amp; Bobot'!$C$15,"Mendapat Bonus","Tidak Mendapat Bonus")</f>
        <v>Tidak Mendapat Bonus</v>
      </c>
      <c r="H44" s="27">
        <f t="shared" si="0"/>
        <v>0</v>
      </c>
      <c r="I44" s="24">
        <f>IF(G44="Mendapat Bonus",H44*'Asumsi &amp; Bobot'!$C$16,0)</f>
        <v>0</v>
      </c>
    </row>
    <row r="45" spans="1:9" ht="15" customHeight="1" x14ac:dyDescent="0.35">
      <c r="A45" s="18">
        <f>'Vektor S &amp; V'!J45</f>
        <v>340</v>
      </c>
      <c r="B45" s="17" t="str">
        <f>'Vektor S &amp; V'!B45</f>
        <v>Network Engineer</v>
      </c>
      <c r="C45" s="14" t="str">
        <f>'Data Mentah'!C45</f>
        <v>Bachelor's</v>
      </c>
      <c r="D45" s="19">
        <f>'Data Mentah'!E45</f>
        <v>3</v>
      </c>
      <c r="E45" s="20">
        <f>'Data Mentah'!F45</f>
        <v>60000</v>
      </c>
      <c r="F45" s="26">
        <f>'Vektor S &amp; V'!I45</f>
        <v>1.4191465840055508E-3</v>
      </c>
      <c r="G45" s="14" t="str">
        <f>IF(F45&gt;='Asumsi &amp; Bobot'!$C$15,"Mendapat Bonus","Tidak Mendapat Bonus")</f>
        <v>Tidak Mendapat Bonus</v>
      </c>
      <c r="H45" s="26">
        <f t="shared" si="0"/>
        <v>0</v>
      </c>
      <c r="I45" s="20">
        <f>IF(G45="Mendapat Bonus",H45*'Asumsi &amp; Bobot'!$C$16,0)</f>
        <v>0</v>
      </c>
    </row>
    <row r="46" spans="1:9" ht="15" customHeight="1" x14ac:dyDescent="0.35">
      <c r="A46" s="22">
        <f>'Vektor S &amp; V'!J46</f>
        <v>180</v>
      </c>
      <c r="B46" s="8" t="str">
        <f>'Vektor S &amp; V'!B46</f>
        <v>Administrative Assistant</v>
      </c>
      <c r="C46" s="11" t="str">
        <f>'Data Mentah'!C46</f>
        <v>Bachelor's</v>
      </c>
      <c r="D46" s="23">
        <f>'Data Mentah'!E46</f>
        <v>8</v>
      </c>
      <c r="E46" s="24">
        <f>'Data Mentah'!F46</f>
        <v>45000</v>
      </c>
      <c r="F46" s="27">
        <f>'Vektor S &amp; V'!I46</f>
        <v>2.2888719900692129E-3</v>
      </c>
      <c r="G46" s="11" t="str">
        <f>IF(F46&gt;='Asumsi &amp; Bobot'!$C$15,"Mendapat Bonus","Tidak Mendapat Bonus")</f>
        <v>Tidak Mendapat Bonus</v>
      </c>
      <c r="H46" s="27">
        <f t="shared" si="0"/>
        <v>0</v>
      </c>
      <c r="I46" s="24">
        <f>IF(G46="Mendapat Bonus",H46*'Asumsi &amp; Bobot'!$C$16,0)</f>
        <v>0</v>
      </c>
    </row>
    <row r="47" spans="1:9" ht="15" customHeight="1" x14ac:dyDescent="0.35">
      <c r="A47" s="18">
        <f>'Vektor S &amp; V'!J47</f>
        <v>115</v>
      </c>
      <c r="B47" s="17" t="str">
        <f>'Vektor S &amp; V'!B47</f>
        <v>Strategy Consultant</v>
      </c>
      <c r="C47" s="14" t="str">
        <f>'Data Mentah'!C47</f>
        <v>Master's</v>
      </c>
      <c r="D47" s="19">
        <f>'Data Mentah'!E47</f>
        <v>13</v>
      </c>
      <c r="E47" s="20">
        <f>'Data Mentah'!F47</f>
        <v>130000</v>
      </c>
      <c r="F47" s="26">
        <f>'Vektor S &amp; V'!I47</f>
        <v>3.3402598195189847E-3</v>
      </c>
      <c r="G47" s="14" t="str">
        <f>IF(F47&gt;='Asumsi &amp; Bobot'!$C$15,"Mendapat Bonus","Tidak Mendapat Bonus")</f>
        <v>Tidak Mendapat Bonus</v>
      </c>
      <c r="H47" s="26">
        <f t="shared" si="0"/>
        <v>0</v>
      </c>
      <c r="I47" s="20">
        <f>IF(G47="Mendapat Bonus",H47*'Asumsi &amp; Bobot'!$C$16,0)</f>
        <v>0</v>
      </c>
    </row>
    <row r="48" spans="1:9" ht="15" customHeight="1" x14ac:dyDescent="0.35">
      <c r="A48" s="22">
        <f>'Vektor S &amp; V'!J48</f>
        <v>320</v>
      </c>
      <c r="B48" s="8" t="str">
        <f>'Vektor S &amp; V'!B48</f>
        <v>Copywriter</v>
      </c>
      <c r="C48" s="11" t="str">
        <f>'Data Mentah'!C48</f>
        <v>Bachelor's</v>
      </c>
      <c r="D48" s="23">
        <f>'Data Mentah'!E48</f>
        <v>2</v>
      </c>
      <c r="E48" s="24">
        <f>'Data Mentah'!F48</f>
        <v>40000</v>
      </c>
      <c r="F48" s="27">
        <f>'Vektor S &amp; V'!I48</f>
        <v>1.5400932331891808E-3</v>
      </c>
      <c r="G48" s="11" t="str">
        <f>IF(F48&gt;='Asumsi &amp; Bobot'!$C$15,"Mendapat Bonus","Tidak Mendapat Bonus")</f>
        <v>Tidak Mendapat Bonus</v>
      </c>
      <c r="H48" s="27">
        <f t="shared" si="0"/>
        <v>0</v>
      </c>
      <c r="I48" s="24">
        <f>IF(G48="Mendapat Bonus",H48*'Asumsi &amp; Bobot'!$C$16,0)</f>
        <v>0</v>
      </c>
    </row>
    <row r="49" spans="1:9" ht="15" customHeight="1" x14ac:dyDescent="0.35">
      <c r="A49" s="18">
        <f>'Vektor S &amp; V'!J49</f>
        <v>301</v>
      </c>
      <c r="B49" s="17" t="str">
        <f>'Vektor S &amp; V'!B49</f>
        <v>Account Manager</v>
      </c>
      <c r="C49" s="14" t="str">
        <f>'Data Mentah'!C49</f>
        <v>Bachelor's</v>
      </c>
      <c r="D49" s="19">
        <f>'Data Mentah'!E49</f>
        <v>5</v>
      </c>
      <c r="E49" s="20">
        <f>'Data Mentah'!F49</f>
        <v>75000</v>
      </c>
      <c r="F49" s="26">
        <f>'Vektor S &amp; V'!I49</f>
        <v>1.5894758947270033E-3</v>
      </c>
      <c r="G49" s="14" t="str">
        <f>IF(F49&gt;='Asumsi &amp; Bobot'!$C$15,"Mendapat Bonus","Tidak Mendapat Bonus")</f>
        <v>Tidak Mendapat Bonus</v>
      </c>
      <c r="H49" s="26">
        <f t="shared" si="0"/>
        <v>0</v>
      </c>
      <c r="I49" s="20">
        <f>IF(G49="Mendapat Bonus",H49*'Asumsi &amp; Bobot'!$C$16,0)</f>
        <v>0</v>
      </c>
    </row>
    <row r="50" spans="1:9" ht="15" customHeight="1" x14ac:dyDescent="0.35">
      <c r="A50" s="22">
        <f>'Vektor S &amp; V'!J50</f>
        <v>64</v>
      </c>
      <c r="B50" s="8" t="str">
        <f>'Vektor S &amp; V'!B50</f>
        <v>Director of Marketing</v>
      </c>
      <c r="C50" s="11" t="str">
        <f>'Data Mentah'!C50</f>
        <v>Master's</v>
      </c>
      <c r="D50" s="23">
        <f>'Data Mentah'!E50</f>
        <v>16</v>
      </c>
      <c r="E50" s="24">
        <f>'Data Mentah'!F50</f>
        <v>180000</v>
      </c>
      <c r="F50" s="27">
        <f>'Vektor S &amp; V'!I50</f>
        <v>4.1171646734048037E-3</v>
      </c>
      <c r="G50" s="11" t="str">
        <f>IF(F50&gt;='Asumsi &amp; Bobot'!$C$15,"Mendapat Bonus","Tidak Mendapat Bonus")</f>
        <v>Mendapat Bonus</v>
      </c>
      <c r="H50" s="27">
        <f t="shared" si="0"/>
        <v>1.2457457283820089E-2</v>
      </c>
      <c r="I50" s="24">
        <f>IF(G50="Mendapat Bonus",H50*'Asumsi &amp; Bobot'!$C$16,0)</f>
        <v>622.8728641910044</v>
      </c>
    </row>
    <row r="51" spans="1:9" ht="15" customHeight="1" x14ac:dyDescent="0.35">
      <c r="A51" s="18">
        <f>'Vektor S &amp; V'!J51</f>
        <v>102</v>
      </c>
      <c r="B51" s="17" t="str">
        <f>'Vektor S &amp; V'!B51</f>
        <v>Senior Scientist</v>
      </c>
      <c r="C51" s="14" t="str">
        <f>'Data Mentah'!C51</f>
        <v>PhD</v>
      </c>
      <c r="D51" s="19">
        <f>'Data Mentah'!E51</f>
        <v>11</v>
      </c>
      <c r="E51" s="20">
        <f>'Data Mentah'!F51</f>
        <v>120000</v>
      </c>
      <c r="F51" s="26">
        <f>'Vektor S &amp; V'!I51</f>
        <v>3.664649404188384E-3</v>
      </c>
      <c r="G51" s="14" t="str">
        <f>IF(F51&gt;='Asumsi &amp; Bobot'!$C$15,"Mendapat Bonus","Tidak Mendapat Bonus")</f>
        <v>Tidak Mendapat Bonus</v>
      </c>
      <c r="H51" s="26">
        <f t="shared" si="0"/>
        <v>0</v>
      </c>
      <c r="I51" s="20">
        <f>IF(G51="Mendapat Bonus",H51*'Asumsi &amp; Bobot'!$C$16,0)</f>
        <v>0</v>
      </c>
    </row>
    <row r="52" spans="1:9" ht="15" customHeight="1" x14ac:dyDescent="0.35">
      <c r="A52" s="22">
        <f>'Vektor S &amp; V'!J52</f>
        <v>373</v>
      </c>
      <c r="B52" s="8" t="str">
        <f>'Vektor S &amp; V'!B52</f>
        <v>Help Desk Analyst</v>
      </c>
      <c r="C52" s="11" t="str">
        <f>'Data Mentah'!C52</f>
        <v>Bachelor's</v>
      </c>
      <c r="D52" s="23">
        <f>'Data Mentah'!E52</f>
        <v>0</v>
      </c>
      <c r="E52" s="24">
        <f>'Data Mentah'!F52</f>
        <v>35000</v>
      </c>
      <c r="F52" s="27">
        <f>'Vektor S &amp; V'!I52</f>
        <v>1.0187579193983564E-3</v>
      </c>
      <c r="G52" s="11" t="str">
        <f>IF(F52&gt;='Asumsi &amp; Bobot'!$C$15,"Mendapat Bonus","Tidak Mendapat Bonus")</f>
        <v>Tidak Mendapat Bonus</v>
      </c>
      <c r="H52" s="27">
        <f t="shared" si="0"/>
        <v>0</v>
      </c>
      <c r="I52" s="24">
        <f>IF(G52="Mendapat Bonus",H52*'Asumsi &amp; Bobot'!$C$16,0)</f>
        <v>0</v>
      </c>
    </row>
    <row r="53" spans="1:9" ht="15" customHeight="1" x14ac:dyDescent="0.35">
      <c r="A53" s="18">
        <f>'Vektor S &amp; V'!J53</f>
        <v>119</v>
      </c>
      <c r="B53" s="17" t="str">
        <f>'Vektor S &amp; V'!B53</f>
        <v>Customer Service Manager</v>
      </c>
      <c r="C53" s="14" t="str">
        <f>'Data Mentah'!C53</f>
        <v>Bachelor's</v>
      </c>
      <c r="D53" s="19">
        <f>'Data Mentah'!E53</f>
        <v>22</v>
      </c>
      <c r="E53" s="20">
        <f>'Data Mentah'!F53</f>
        <v>130000</v>
      </c>
      <c r="F53" s="26">
        <f>'Vektor S &amp; V'!I53</f>
        <v>3.1027392599998305E-3</v>
      </c>
      <c r="G53" s="14" t="str">
        <f>IF(F53&gt;='Asumsi &amp; Bobot'!$C$15,"Mendapat Bonus","Tidak Mendapat Bonus")</f>
        <v>Tidak Mendapat Bonus</v>
      </c>
      <c r="H53" s="26">
        <f t="shared" si="0"/>
        <v>0</v>
      </c>
      <c r="I53" s="20">
        <f>IF(G53="Mendapat Bonus",H53*'Asumsi &amp; Bobot'!$C$16,0)</f>
        <v>0</v>
      </c>
    </row>
    <row r="54" spans="1:9" ht="15" customHeight="1" x14ac:dyDescent="0.35">
      <c r="A54" s="22">
        <f>'Vektor S &amp; V'!J54</f>
        <v>142</v>
      </c>
      <c r="B54" s="8" t="str">
        <f>'Vektor S &amp; V'!B54</f>
        <v>Business Intelligence Analyst</v>
      </c>
      <c r="C54" s="11" t="str">
        <f>'Data Mentah'!C54</f>
        <v>Master's</v>
      </c>
      <c r="D54" s="23">
        <f>'Data Mentah'!E54</f>
        <v>7</v>
      </c>
      <c r="E54" s="24">
        <f>'Data Mentah'!F54</f>
        <v>85000</v>
      </c>
      <c r="F54" s="27">
        <f>'Vektor S &amp; V'!I54</f>
        <v>2.7113637642970979E-3</v>
      </c>
      <c r="G54" s="11" t="str">
        <f>IF(F54&gt;='Asumsi &amp; Bobot'!$C$15,"Mendapat Bonus","Tidak Mendapat Bonus")</f>
        <v>Tidak Mendapat Bonus</v>
      </c>
      <c r="H54" s="27">
        <f t="shared" si="0"/>
        <v>0</v>
      </c>
      <c r="I54" s="24">
        <f>IF(G54="Mendapat Bonus",H54*'Asumsi &amp; Bobot'!$C$16,0)</f>
        <v>0</v>
      </c>
    </row>
    <row r="55" spans="1:9" ht="15" customHeight="1" x14ac:dyDescent="0.35">
      <c r="A55" s="18">
        <f>'Vektor S &amp; V'!J55</f>
        <v>146</v>
      </c>
      <c r="B55" s="17" t="str">
        <f>'Vektor S &amp; V'!B55</f>
        <v>Event Coordinator</v>
      </c>
      <c r="C55" s="14" t="str">
        <f>'Data Mentah'!C55</f>
        <v>Bachelor's</v>
      </c>
      <c r="D55" s="19">
        <f>'Data Mentah'!E55</f>
        <v>12</v>
      </c>
      <c r="E55" s="20">
        <f>'Data Mentah'!F55</f>
        <v>60000</v>
      </c>
      <c r="F55" s="26">
        <f>'Vektor S &amp; V'!I55</f>
        <v>2.5908184641451298E-3</v>
      </c>
      <c r="G55" s="14" t="str">
        <f>IF(F55&gt;='Asumsi &amp; Bobot'!$C$15,"Mendapat Bonus","Tidak Mendapat Bonus")</f>
        <v>Tidak Mendapat Bonus</v>
      </c>
      <c r="H55" s="26">
        <f t="shared" si="0"/>
        <v>0</v>
      </c>
      <c r="I55" s="20">
        <f>IF(G55="Mendapat Bonus",H55*'Asumsi &amp; Bobot'!$C$16,0)</f>
        <v>0</v>
      </c>
    </row>
    <row r="56" spans="1:9" ht="15" customHeight="1" x14ac:dyDescent="0.35">
      <c r="A56" s="22">
        <f>'Vektor S &amp; V'!J56</f>
        <v>98</v>
      </c>
      <c r="B56" s="8" t="str">
        <f>'Vektor S &amp; V'!B56</f>
        <v>VP of Finance</v>
      </c>
      <c r="C56" s="11" t="str">
        <f>'Data Mentah'!C56</f>
        <v>Master's</v>
      </c>
      <c r="D56" s="23">
        <f>'Data Mentah'!E56</f>
        <v>19</v>
      </c>
      <c r="E56" s="24">
        <f>'Data Mentah'!F56</f>
        <v>200000</v>
      </c>
      <c r="F56" s="27">
        <f>'Vektor S &amp; V'!I56</f>
        <v>3.7209763641944289E-3</v>
      </c>
      <c r="G56" s="11" t="str">
        <f>IF(F56&gt;='Asumsi &amp; Bobot'!$C$15,"Mendapat Bonus","Tidak Mendapat Bonus")</f>
        <v>Tidak Mendapat Bonus</v>
      </c>
      <c r="H56" s="27">
        <f t="shared" si="0"/>
        <v>0</v>
      </c>
      <c r="I56" s="24">
        <f>IF(G56="Mendapat Bonus",H56*'Asumsi &amp; Bobot'!$C$16,0)</f>
        <v>0</v>
      </c>
    </row>
    <row r="57" spans="1:9" ht="15" customHeight="1" x14ac:dyDescent="0.35">
      <c r="A57" s="18">
        <f>'Vektor S &amp; V'!J57</f>
        <v>293</v>
      </c>
      <c r="B57" s="17" t="str">
        <f>'Vektor S &amp; V'!B57</f>
        <v>Graphic Designer</v>
      </c>
      <c r="C57" s="14" t="str">
        <f>'Data Mentah'!C57</f>
        <v>Bachelor's</v>
      </c>
      <c r="D57" s="19">
        <f>'Data Mentah'!E57</f>
        <v>3</v>
      </c>
      <c r="E57" s="20">
        <f>'Data Mentah'!F57</f>
        <v>50000</v>
      </c>
      <c r="F57" s="26">
        <f>'Vektor S &amp; V'!I57</f>
        <v>1.6477457664745962E-3</v>
      </c>
      <c r="G57" s="14" t="str">
        <f>IF(F57&gt;='Asumsi &amp; Bobot'!$C$15,"Mendapat Bonus","Tidak Mendapat Bonus")</f>
        <v>Tidak Mendapat Bonus</v>
      </c>
      <c r="H57" s="26">
        <f t="shared" si="0"/>
        <v>0</v>
      </c>
      <c r="I57" s="20">
        <f>IF(G57="Mendapat Bonus",H57*'Asumsi &amp; Bobot'!$C$16,0)</f>
        <v>0</v>
      </c>
    </row>
    <row r="58" spans="1:9" ht="15" customHeight="1" x14ac:dyDescent="0.35">
      <c r="A58" s="22">
        <f>'Vektor S &amp; V'!J58</f>
        <v>242</v>
      </c>
      <c r="B58" s="8" t="str">
        <f>'Vektor S &amp; V'!B58</f>
        <v>Sales Manager</v>
      </c>
      <c r="C58" s="11" t="str">
        <f>'Data Mentah'!C58</f>
        <v>Bachelor's</v>
      </c>
      <c r="D58" s="23">
        <f>'Data Mentah'!E58</f>
        <v>9</v>
      </c>
      <c r="E58" s="24">
        <f>'Data Mentah'!F58</f>
        <v>95000</v>
      </c>
      <c r="F58" s="27">
        <f>'Vektor S &amp; V'!I58</f>
        <v>1.8853422671436049E-3</v>
      </c>
      <c r="G58" s="11" t="str">
        <f>IF(F58&gt;='Asumsi &amp; Bobot'!$C$15,"Mendapat Bonus","Tidak Mendapat Bonus")</f>
        <v>Tidak Mendapat Bonus</v>
      </c>
      <c r="H58" s="27">
        <f t="shared" si="0"/>
        <v>0</v>
      </c>
      <c r="I58" s="24">
        <f>IF(G58="Mendapat Bonus",H58*'Asumsi &amp; Bobot'!$C$16,0)</f>
        <v>0</v>
      </c>
    </row>
    <row r="59" spans="1:9" ht="15" customHeight="1" x14ac:dyDescent="0.35">
      <c r="A59" s="18">
        <f>'Vektor S &amp; V'!J59</f>
        <v>186</v>
      </c>
      <c r="B59" s="17" t="str">
        <f>'Vektor S &amp; V'!B59</f>
        <v>UX Researcher</v>
      </c>
      <c r="C59" s="14" t="str">
        <f>'Data Mentah'!C59</f>
        <v>Master's</v>
      </c>
      <c r="D59" s="19">
        <f>'Data Mentah'!E59</f>
        <v>2</v>
      </c>
      <c r="E59" s="20">
        <f>'Data Mentah'!F59</f>
        <v>65000</v>
      </c>
      <c r="F59" s="26">
        <f>'Vektor S &amp; V'!I59</f>
        <v>2.267789488010341E-3</v>
      </c>
      <c r="G59" s="14" t="str">
        <f>IF(F59&gt;='Asumsi &amp; Bobot'!$C$15,"Mendapat Bonus","Tidak Mendapat Bonus")</f>
        <v>Tidak Mendapat Bonus</v>
      </c>
      <c r="H59" s="26">
        <f t="shared" si="0"/>
        <v>0</v>
      </c>
      <c r="I59" s="20">
        <f>IF(G59="Mendapat Bonus",H59*'Asumsi &amp; Bobot'!$C$16,0)</f>
        <v>0</v>
      </c>
    </row>
    <row r="60" spans="1:9" ht="15" customHeight="1" x14ac:dyDescent="0.35">
      <c r="A60" s="22">
        <f>'Vektor S &amp; V'!J60</f>
        <v>55</v>
      </c>
      <c r="B60" s="8" t="str">
        <f>'Vektor S &amp; V'!B60</f>
        <v>Senior Engineer</v>
      </c>
      <c r="C60" s="11" t="str">
        <f>'Data Mentah'!C60</f>
        <v>PhD</v>
      </c>
      <c r="D60" s="23">
        <f>'Data Mentah'!E60</f>
        <v>17</v>
      </c>
      <c r="E60" s="24">
        <f>'Data Mentah'!F60</f>
        <v>140000</v>
      </c>
      <c r="F60" s="27">
        <f>'Vektor S &amp; V'!I60</f>
        <v>4.2652454047434245E-3</v>
      </c>
      <c r="G60" s="11" t="str">
        <f>IF(F60&gt;='Asumsi &amp; Bobot'!$C$15,"Mendapat Bonus","Tidak Mendapat Bonus")</f>
        <v>Mendapat Bonus</v>
      </c>
      <c r="H60" s="27">
        <f t="shared" si="0"/>
        <v>1.2905510624295824E-2</v>
      </c>
      <c r="I60" s="24">
        <f>IF(G60="Mendapat Bonus",H60*'Asumsi &amp; Bobot'!$C$16,0)</f>
        <v>645.27553121479116</v>
      </c>
    </row>
    <row r="61" spans="1:9" ht="15" customHeight="1" x14ac:dyDescent="0.35">
      <c r="A61" s="18">
        <f>'Vektor S &amp; V'!J61</f>
        <v>269</v>
      </c>
      <c r="B61" s="17" t="str">
        <f>'Vektor S &amp; V'!B61</f>
        <v>Social Media Manager</v>
      </c>
      <c r="C61" s="14" t="str">
        <f>'Data Mentah'!C61</f>
        <v>Bachelor's</v>
      </c>
      <c r="D61" s="19">
        <f>'Data Mentah'!E61</f>
        <v>4</v>
      </c>
      <c r="E61" s="20">
        <f>'Data Mentah'!F61</f>
        <v>55000</v>
      </c>
      <c r="F61" s="26">
        <f>'Vektor S &amp; V'!I61</f>
        <v>1.7587917892804099E-3</v>
      </c>
      <c r="G61" s="14" t="str">
        <f>IF(F61&gt;='Asumsi &amp; Bobot'!$C$15,"Mendapat Bonus","Tidak Mendapat Bonus")</f>
        <v>Tidak Mendapat Bonus</v>
      </c>
      <c r="H61" s="26">
        <f t="shared" si="0"/>
        <v>0</v>
      </c>
      <c r="I61" s="20">
        <f>IF(G61="Mendapat Bonus",H61*'Asumsi &amp; Bobot'!$C$16,0)</f>
        <v>0</v>
      </c>
    </row>
    <row r="62" spans="1:9" ht="15" customHeight="1" x14ac:dyDescent="0.35">
      <c r="A62" s="22">
        <f>'Vektor S &amp; V'!J62</f>
        <v>141</v>
      </c>
      <c r="B62" s="8" t="str">
        <f>'Vektor S &amp; V'!B62</f>
        <v>Product Manager</v>
      </c>
      <c r="C62" s="11" t="str">
        <f>'Data Mentah'!C62</f>
        <v>Master's</v>
      </c>
      <c r="D62" s="23">
        <f>'Data Mentah'!E62</f>
        <v>7</v>
      </c>
      <c r="E62" s="24">
        <f>'Data Mentah'!F62</f>
        <v>105000</v>
      </c>
      <c r="F62" s="27">
        <f>'Vektor S &amp; V'!I62</f>
        <v>2.7279951956492333E-3</v>
      </c>
      <c r="G62" s="11" t="str">
        <f>IF(F62&gt;='Asumsi &amp; Bobot'!$C$15,"Mendapat Bonus","Tidak Mendapat Bonus")</f>
        <v>Tidak Mendapat Bonus</v>
      </c>
      <c r="H62" s="27">
        <f t="shared" si="0"/>
        <v>0</v>
      </c>
      <c r="I62" s="24">
        <f>IF(G62="Mendapat Bonus",H62*'Asumsi &amp; Bobot'!$C$16,0)</f>
        <v>0</v>
      </c>
    </row>
    <row r="63" spans="1:9" ht="15" customHeight="1" x14ac:dyDescent="0.35">
      <c r="A63" s="18">
        <f>'Vektor S &amp; V'!J63</f>
        <v>20</v>
      </c>
      <c r="B63" s="17" t="str">
        <f>'Vektor S &amp; V'!B63</f>
        <v>Director of Operations</v>
      </c>
      <c r="C63" s="14" t="str">
        <f>'Data Mentah'!C63</f>
        <v>Master's</v>
      </c>
      <c r="D63" s="19">
        <f>'Data Mentah'!E63</f>
        <v>23</v>
      </c>
      <c r="E63" s="20">
        <f>'Data Mentah'!F63</f>
        <v>170000</v>
      </c>
      <c r="F63" s="26">
        <f>'Vektor S &amp; V'!I63</f>
        <v>4.806067739935224E-3</v>
      </c>
      <c r="G63" s="14" t="str">
        <f>IF(F63&gt;='Asumsi &amp; Bobot'!$C$15,"Mendapat Bonus","Tidak Mendapat Bonus")</f>
        <v>Mendapat Bonus</v>
      </c>
      <c r="H63" s="26">
        <f t="shared" si="0"/>
        <v>1.4541896747568396E-2</v>
      </c>
      <c r="I63" s="20">
        <f>IF(G63="Mendapat Bonus",H63*'Asumsi &amp; Bobot'!$C$16,0)</f>
        <v>727.09483737841981</v>
      </c>
    </row>
    <row r="64" spans="1:9" ht="15" customHeight="1" x14ac:dyDescent="0.35">
      <c r="A64" s="22">
        <f>'Vektor S &amp; V'!J64</f>
        <v>341</v>
      </c>
      <c r="B64" s="8" t="str">
        <f>'Vektor S &amp; V'!B64</f>
        <v>Marketing Analyst</v>
      </c>
      <c r="C64" s="11" t="str">
        <f>'Data Mentah'!C64</f>
        <v>Bachelor's</v>
      </c>
      <c r="D64" s="23">
        <f>'Data Mentah'!E64</f>
        <v>3</v>
      </c>
      <c r="E64" s="24">
        <f>'Data Mentah'!F64</f>
        <v>50000</v>
      </c>
      <c r="F64" s="27">
        <f>'Vektor S &amp; V'!I64</f>
        <v>1.4132647858257704E-3</v>
      </c>
      <c r="G64" s="11" t="str">
        <f>IF(F64&gt;='Asumsi &amp; Bobot'!$C$15,"Mendapat Bonus","Tidak Mendapat Bonus")</f>
        <v>Tidak Mendapat Bonus</v>
      </c>
      <c r="H64" s="27">
        <f t="shared" si="0"/>
        <v>0</v>
      </c>
      <c r="I64" s="24">
        <f>IF(G64="Mendapat Bonus",H64*'Asumsi &amp; Bobot'!$C$16,0)</f>
        <v>0</v>
      </c>
    </row>
    <row r="65" spans="1:9" ht="15" customHeight="1" x14ac:dyDescent="0.35">
      <c r="A65" s="18">
        <f>'Vektor S &amp; V'!J65</f>
        <v>155</v>
      </c>
      <c r="B65" s="17" t="str">
        <f>'Vektor S &amp; V'!B65</f>
        <v>HR Manager</v>
      </c>
      <c r="C65" s="14" t="str">
        <f>'Data Mentah'!C65</f>
        <v>Bachelor's</v>
      </c>
      <c r="D65" s="19">
        <f>'Data Mentah'!E65</f>
        <v>12</v>
      </c>
      <c r="E65" s="20">
        <f>'Data Mentah'!F65</f>
        <v>80000</v>
      </c>
      <c r="F65" s="26">
        <f>'Vektor S &amp; V'!I65</f>
        <v>2.5205959415151341E-3</v>
      </c>
      <c r="G65" s="14" t="str">
        <f>IF(F65&gt;='Asumsi &amp; Bobot'!$C$15,"Mendapat Bonus","Tidak Mendapat Bonus")</f>
        <v>Tidak Mendapat Bonus</v>
      </c>
      <c r="H65" s="26">
        <f t="shared" si="0"/>
        <v>0</v>
      </c>
      <c r="I65" s="20">
        <f>IF(G65="Mendapat Bonus",H65*'Asumsi &amp; Bobot'!$C$16,0)</f>
        <v>0</v>
      </c>
    </row>
    <row r="66" spans="1:9" ht="15" customHeight="1" x14ac:dyDescent="0.35">
      <c r="A66" s="22">
        <f>'Vektor S &amp; V'!J66</f>
        <v>40</v>
      </c>
      <c r="B66" s="8" t="str">
        <f>'Vektor S &amp; V'!B66</f>
        <v>Senior Data Scientist</v>
      </c>
      <c r="C66" s="11" t="str">
        <f>'Data Mentah'!C66</f>
        <v>PhD</v>
      </c>
      <c r="D66" s="23">
        <f>'Data Mentah'!E66</f>
        <v>21</v>
      </c>
      <c r="E66" s="24">
        <f>'Data Mentah'!F66</f>
        <v>180000</v>
      </c>
      <c r="F66" s="27">
        <f>'Vektor S &amp; V'!I66</f>
        <v>4.5492932102180559E-3</v>
      </c>
      <c r="G66" s="11" t="str">
        <f>IF(F66&gt;='Asumsi &amp; Bobot'!$C$15,"Mendapat Bonus","Tidak Mendapat Bonus")</f>
        <v>Mendapat Bonus</v>
      </c>
      <c r="H66" s="27">
        <f t="shared" si="0"/>
        <v>1.3764964565043059E-2</v>
      </c>
      <c r="I66" s="24">
        <f>IF(G66="Mendapat Bonus",H66*'Asumsi &amp; Bobot'!$C$16,0)</f>
        <v>688.2482282521529</v>
      </c>
    </row>
    <row r="67" spans="1:9" ht="15" customHeight="1" x14ac:dyDescent="0.35">
      <c r="A67" s="18">
        <f>'Vektor S &amp; V'!J67</f>
        <v>368</v>
      </c>
      <c r="B67" s="17" t="str">
        <f>'Vektor S &amp; V'!B67</f>
        <v>Junior Accountant</v>
      </c>
      <c r="C67" s="14" t="str">
        <f>'Data Mentah'!C67</f>
        <v>Bachelor's</v>
      </c>
      <c r="D67" s="19">
        <f>'Data Mentah'!E67</f>
        <v>1</v>
      </c>
      <c r="E67" s="20">
        <f>'Data Mentah'!F67</f>
        <v>35000</v>
      </c>
      <c r="F67" s="26">
        <f>'Vektor S &amp; V'!I67</f>
        <v>1.1681824863162868E-3</v>
      </c>
      <c r="G67" s="14" t="str">
        <f>IF(F67&gt;='Asumsi &amp; Bobot'!$C$15,"Mendapat Bonus","Tidak Mendapat Bonus")</f>
        <v>Tidak Mendapat Bonus</v>
      </c>
      <c r="H67" s="26">
        <f t="shared" ref="H67:H130" si="1">IF(G67="Mendapat Bonus",F67/(SUMIF($G$3:$G$375,"Mendapat Bonus",$F$3:$F$375)),0)</f>
        <v>0</v>
      </c>
      <c r="I67" s="20">
        <f>IF(G67="Mendapat Bonus",H67*'Asumsi &amp; Bobot'!$C$16,0)</f>
        <v>0</v>
      </c>
    </row>
    <row r="68" spans="1:9" ht="15" customHeight="1" x14ac:dyDescent="0.35">
      <c r="A68" s="22">
        <f>'Vektor S &amp; V'!J68</f>
        <v>103</v>
      </c>
      <c r="B68" s="8" t="str">
        <f>'Vektor S &amp; V'!B68</f>
        <v>Digital Marketing Manager</v>
      </c>
      <c r="C68" s="11" t="str">
        <f>'Data Mentah'!C68</f>
        <v>Master's</v>
      </c>
      <c r="D68" s="23">
        <f>'Data Mentah'!E68</f>
        <v>10</v>
      </c>
      <c r="E68" s="24">
        <f>'Data Mentah'!F68</f>
        <v>90000</v>
      </c>
      <c r="F68" s="27">
        <f>'Vektor S &amp; V'!I68</f>
        <v>3.662122785656871E-3</v>
      </c>
      <c r="G68" s="11" t="str">
        <f>IF(F68&gt;='Asumsi &amp; Bobot'!$C$15,"Mendapat Bonus","Tidak Mendapat Bonus")</f>
        <v>Tidak Mendapat Bonus</v>
      </c>
      <c r="H68" s="27">
        <f t="shared" si="1"/>
        <v>0</v>
      </c>
      <c r="I68" s="24">
        <f>IF(G68="Mendapat Bonus",H68*'Asumsi &amp; Bobot'!$C$16,0)</f>
        <v>0</v>
      </c>
    </row>
    <row r="69" spans="1:9" ht="15" customHeight="1" x14ac:dyDescent="0.35">
      <c r="A69" s="18">
        <f>'Vektor S &amp; V'!J69</f>
        <v>158</v>
      </c>
      <c r="B69" s="17" t="str">
        <f>'Vektor S &amp; V'!B69</f>
        <v>IT Manager</v>
      </c>
      <c r="C69" s="14" t="str">
        <f>'Data Mentah'!C69</f>
        <v>Bachelor's</v>
      </c>
      <c r="D69" s="19">
        <f>'Data Mentah'!E69</f>
        <v>19</v>
      </c>
      <c r="E69" s="20">
        <f>'Data Mentah'!F69</f>
        <v>120000</v>
      </c>
      <c r="F69" s="26">
        <f>'Vektor S &amp; V'!I69</f>
        <v>2.4836864877174126E-3</v>
      </c>
      <c r="G69" s="14" t="str">
        <f>IF(F69&gt;='Asumsi &amp; Bobot'!$C$15,"Mendapat Bonus","Tidak Mendapat Bonus")</f>
        <v>Tidak Mendapat Bonus</v>
      </c>
      <c r="H69" s="26">
        <f t="shared" si="1"/>
        <v>0</v>
      </c>
      <c r="I69" s="20">
        <f>IF(G69="Mendapat Bonus",H69*'Asumsi &amp; Bobot'!$C$16,0)</f>
        <v>0</v>
      </c>
    </row>
    <row r="70" spans="1:9" ht="15" customHeight="1" x14ac:dyDescent="0.35">
      <c r="A70" s="22">
        <f>'Vektor S &amp; V'!J70</f>
        <v>233</v>
      </c>
      <c r="B70" s="8" t="str">
        <f>'Vektor S &amp; V'!B70</f>
        <v>Customer Service Representative</v>
      </c>
      <c r="C70" s="11" t="str">
        <f>'Data Mentah'!C70</f>
        <v>Bachelor's</v>
      </c>
      <c r="D70" s="23">
        <f>'Data Mentah'!E70</f>
        <v>5</v>
      </c>
      <c r="E70" s="24">
        <f>'Data Mentah'!F70</f>
        <v>45000</v>
      </c>
      <c r="F70" s="27">
        <f>'Vektor S &amp; V'!I70</f>
        <v>1.9083301295563628E-3</v>
      </c>
      <c r="G70" s="11" t="str">
        <f>IF(F70&gt;='Asumsi &amp; Bobot'!$C$15,"Mendapat Bonus","Tidak Mendapat Bonus")</f>
        <v>Tidak Mendapat Bonus</v>
      </c>
      <c r="H70" s="27">
        <f t="shared" si="1"/>
        <v>0</v>
      </c>
      <c r="I70" s="24">
        <f>IF(G70="Mendapat Bonus",H70*'Asumsi &amp; Bobot'!$C$16,0)</f>
        <v>0</v>
      </c>
    </row>
    <row r="71" spans="1:9" ht="15" customHeight="1" x14ac:dyDescent="0.35">
      <c r="A71" s="18">
        <f>'Vektor S &amp; V'!J71</f>
        <v>137</v>
      </c>
      <c r="B71" s="17" t="str">
        <f>'Vektor S &amp; V'!B71</f>
        <v>Business Development Manager</v>
      </c>
      <c r="C71" s="14" t="str">
        <f>'Data Mentah'!C71</f>
        <v>Master's</v>
      </c>
      <c r="D71" s="19">
        <f>'Data Mentah'!E71</f>
        <v>8</v>
      </c>
      <c r="E71" s="20">
        <f>'Data Mentah'!F71</f>
        <v>90000</v>
      </c>
      <c r="F71" s="26">
        <f>'Vektor S &amp; V'!I71</f>
        <v>2.8251749879041974E-3</v>
      </c>
      <c r="G71" s="14" t="str">
        <f>IF(F71&gt;='Asumsi &amp; Bobot'!$C$15,"Mendapat Bonus","Tidak Mendapat Bonus")</f>
        <v>Tidak Mendapat Bonus</v>
      </c>
      <c r="H71" s="26">
        <f t="shared" si="1"/>
        <v>0</v>
      </c>
      <c r="I71" s="20">
        <f>IF(G71="Mendapat Bonus",H71*'Asumsi &amp; Bobot'!$C$16,0)</f>
        <v>0</v>
      </c>
    </row>
    <row r="72" spans="1:9" ht="15" customHeight="1" x14ac:dyDescent="0.35">
      <c r="A72" s="22">
        <f>'Vektor S &amp; V'!J72</f>
        <v>48</v>
      </c>
      <c r="B72" s="8" t="str">
        <f>'Vektor S &amp; V'!B72</f>
        <v>Senior Financial Analyst</v>
      </c>
      <c r="C72" s="11" t="str">
        <f>'Data Mentah'!C72</f>
        <v>Master's</v>
      </c>
      <c r="D72" s="23">
        <f>'Data Mentah'!E72</f>
        <v>18</v>
      </c>
      <c r="E72" s="24">
        <f>'Data Mentah'!F72</f>
        <v>150000</v>
      </c>
      <c r="F72" s="27">
        <f>'Vektor S &amp; V'!I72</f>
        <v>4.4774584448527945E-3</v>
      </c>
      <c r="G72" s="11" t="str">
        <f>IF(F72&gt;='Asumsi &amp; Bobot'!$C$15,"Mendapat Bonus","Tidak Mendapat Bonus")</f>
        <v>Mendapat Bonus</v>
      </c>
      <c r="H72" s="27">
        <f t="shared" si="1"/>
        <v>1.3547611461143296E-2</v>
      </c>
      <c r="I72" s="24">
        <f>IF(G72="Mendapat Bonus",H72*'Asumsi &amp; Bobot'!$C$16,0)</f>
        <v>677.38057305716484</v>
      </c>
    </row>
    <row r="73" spans="1:9" ht="15" customHeight="1" x14ac:dyDescent="0.35">
      <c r="A73" s="18">
        <f>'Vektor S &amp; V'!J73</f>
        <v>282</v>
      </c>
      <c r="B73" s="17" t="str">
        <f>'Vektor S &amp; V'!B73</f>
        <v>Web Developer</v>
      </c>
      <c r="C73" s="14" t="str">
        <f>'Data Mentah'!C73</f>
        <v>Bachelor's</v>
      </c>
      <c r="D73" s="19">
        <f>'Data Mentah'!E73</f>
        <v>6</v>
      </c>
      <c r="E73" s="20">
        <f>'Data Mentah'!F73</f>
        <v>65000</v>
      </c>
      <c r="F73" s="26">
        <f>'Vektor S &amp; V'!I73</f>
        <v>1.7040658036593021E-3</v>
      </c>
      <c r="G73" s="14" t="str">
        <f>IF(F73&gt;='Asumsi &amp; Bobot'!$C$15,"Mendapat Bonus","Tidak Mendapat Bonus")</f>
        <v>Tidak Mendapat Bonus</v>
      </c>
      <c r="H73" s="26">
        <f t="shared" si="1"/>
        <v>0</v>
      </c>
      <c r="I73" s="20">
        <f>IF(G73="Mendapat Bonus",H73*'Asumsi &amp; Bobot'!$C$16,0)</f>
        <v>0</v>
      </c>
    </row>
    <row r="74" spans="1:9" ht="15" customHeight="1" x14ac:dyDescent="0.35">
      <c r="A74" s="22">
        <f>'Vektor S &amp; V'!J74</f>
        <v>160</v>
      </c>
      <c r="B74" s="8" t="str">
        <f>'Vektor S &amp; V'!B74</f>
        <v>Recruiter</v>
      </c>
      <c r="C74" s="11" t="str">
        <f>'Data Mentah'!C74</f>
        <v>Bachelor's</v>
      </c>
      <c r="D74" s="23">
        <f>'Data Mentah'!E74</f>
        <v>11</v>
      </c>
      <c r="E74" s="24">
        <f>'Data Mentah'!F74</f>
        <v>70000</v>
      </c>
      <c r="F74" s="27">
        <f>'Vektor S &amp; V'!I74</f>
        <v>2.4696734759612326E-3</v>
      </c>
      <c r="G74" s="11" t="str">
        <f>IF(F74&gt;='Asumsi &amp; Bobot'!$C$15,"Mendapat Bonus","Tidak Mendapat Bonus")</f>
        <v>Tidak Mendapat Bonus</v>
      </c>
      <c r="H74" s="27">
        <f t="shared" si="1"/>
        <v>0</v>
      </c>
      <c r="I74" s="24">
        <f>IF(G74="Mendapat Bonus",H74*'Asumsi &amp; Bobot'!$C$16,0)</f>
        <v>0</v>
      </c>
    </row>
    <row r="75" spans="1:9" ht="15" customHeight="1" x14ac:dyDescent="0.35">
      <c r="A75" s="18">
        <f>'Vektor S &amp; V'!J75</f>
        <v>65</v>
      </c>
      <c r="B75" s="17" t="str">
        <f>'Vektor S &amp; V'!B75</f>
        <v>Research Director</v>
      </c>
      <c r="C75" s="14" t="str">
        <f>'Data Mentah'!C75</f>
        <v>PhD</v>
      </c>
      <c r="D75" s="19">
        <f>'Data Mentah'!E75</f>
        <v>16</v>
      </c>
      <c r="E75" s="20">
        <f>'Data Mentah'!F75</f>
        <v>190000</v>
      </c>
      <c r="F75" s="26">
        <f>'Vektor S &amp; V'!I75</f>
        <v>4.1156768956099677E-3</v>
      </c>
      <c r="G75" s="14" t="str">
        <f>IF(F75&gt;='Asumsi &amp; Bobot'!$C$15,"Mendapat Bonus","Tidak Mendapat Bonus")</f>
        <v>Mendapat Bonus</v>
      </c>
      <c r="H75" s="26">
        <f t="shared" si="1"/>
        <v>1.2452955659572046E-2</v>
      </c>
      <c r="I75" s="20">
        <f>IF(G75="Mendapat Bonus",H75*'Asumsi &amp; Bobot'!$C$16,0)</f>
        <v>622.64778297860232</v>
      </c>
    </row>
    <row r="76" spans="1:9" ht="15" customHeight="1" x14ac:dyDescent="0.35">
      <c r="A76" s="22">
        <f>'Vektor S &amp; V'!J76</f>
        <v>347</v>
      </c>
      <c r="B76" s="8" t="str">
        <f>'Vektor S &amp; V'!B76</f>
        <v>Technical Support Specialist</v>
      </c>
      <c r="C76" s="11" t="str">
        <f>'Data Mentah'!C76</f>
        <v>Bachelor's</v>
      </c>
      <c r="D76" s="23">
        <f>'Data Mentah'!E76</f>
        <v>2</v>
      </c>
      <c r="E76" s="24">
        <f>'Data Mentah'!F76</f>
        <v>40000</v>
      </c>
      <c r="F76" s="27">
        <f>'Vektor S &amp; V'!I76</f>
        <v>1.3209316495539497E-3</v>
      </c>
      <c r="G76" s="11" t="str">
        <f>IF(F76&gt;='Asumsi &amp; Bobot'!$C$15,"Mendapat Bonus","Tidak Mendapat Bonus")</f>
        <v>Tidak Mendapat Bonus</v>
      </c>
      <c r="H76" s="27">
        <f t="shared" si="1"/>
        <v>0</v>
      </c>
      <c r="I76" s="24">
        <f>IF(G76="Mendapat Bonus",H76*'Asumsi &amp; Bobot'!$C$16,0)</f>
        <v>0</v>
      </c>
    </row>
    <row r="77" spans="1:9" ht="15" customHeight="1" x14ac:dyDescent="0.35">
      <c r="A77" s="18">
        <f>'Vektor S &amp; V'!J77</f>
        <v>70</v>
      </c>
      <c r="B77" s="17" t="str">
        <f>'Vektor S &amp; V'!B77</f>
        <v>Creative Director</v>
      </c>
      <c r="C77" s="14" t="str">
        <f>'Data Mentah'!C77</f>
        <v>Master's</v>
      </c>
      <c r="D77" s="19">
        <f>'Data Mentah'!E77</f>
        <v>14</v>
      </c>
      <c r="E77" s="20">
        <f>'Data Mentah'!F77</f>
        <v>120000</v>
      </c>
      <c r="F77" s="26">
        <f>'Vektor S &amp; V'!I77</f>
        <v>4.0469079489857344E-3</v>
      </c>
      <c r="G77" s="14" t="str">
        <f>IF(F77&gt;='Asumsi &amp; Bobot'!$C$15,"Mendapat Bonus","Tidak Mendapat Bonus")</f>
        <v>Mendapat Bonus</v>
      </c>
      <c r="H77" s="26">
        <f t="shared" si="1"/>
        <v>1.2244878916720702E-2</v>
      </c>
      <c r="I77" s="20">
        <f>IF(G77="Mendapat Bonus",H77*'Asumsi &amp; Bobot'!$C$16,0)</f>
        <v>612.2439458360351</v>
      </c>
    </row>
    <row r="78" spans="1:9" ht="15" customHeight="1" x14ac:dyDescent="0.35">
      <c r="A78" s="22">
        <f>'Vektor S &amp; V'!J78</f>
        <v>226</v>
      </c>
      <c r="B78" s="8" t="str">
        <f>'Vektor S &amp; V'!B78</f>
        <v>Project Manager</v>
      </c>
      <c r="C78" s="11" t="str">
        <f>'Data Mentah'!C78</f>
        <v>Bachelor's</v>
      </c>
      <c r="D78" s="23">
        <f>'Data Mentah'!E78</f>
        <v>10</v>
      </c>
      <c r="E78" s="24">
        <f>'Data Mentah'!F78</f>
        <v>95000</v>
      </c>
      <c r="F78" s="27">
        <f>'Vektor S &amp; V'!I78</f>
        <v>1.9604193556936262E-3</v>
      </c>
      <c r="G78" s="11" t="str">
        <f>IF(F78&gt;='Asumsi &amp; Bobot'!$C$15,"Mendapat Bonus","Tidak Mendapat Bonus")</f>
        <v>Tidak Mendapat Bonus</v>
      </c>
      <c r="H78" s="27">
        <f t="shared" si="1"/>
        <v>0</v>
      </c>
      <c r="I78" s="24">
        <f>IF(G78="Mendapat Bonus",H78*'Asumsi &amp; Bobot'!$C$16,0)</f>
        <v>0</v>
      </c>
    </row>
    <row r="79" spans="1:9" ht="15" customHeight="1" x14ac:dyDescent="0.35">
      <c r="A79" s="18">
        <f>'Vektor S &amp; V'!J79</f>
        <v>125</v>
      </c>
      <c r="B79" s="17" t="str">
        <f>'Vektor S &amp; V'!B79</f>
        <v>Operations Manager</v>
      </c>
      <c r="C79" s="14" t="str">
        <f>'Data Mentah'!C79</f>
        <v>Bachelor's</v>
      </c>
      <c r="D79" s="19">
        <f>'Data Mentah'!E79</f>
        <v>22</v>
      </c>
      <c r="E79" s="20">
        <f>'Data Mentah'!F79</f>
        <v>160000</v>
      </c>
      <c r="F79" s="26">
        <f>'Vektor S &amp; V'!I79</f>
        <v>3.0117946200985232E-3</v>
      </c>
      <c r="G79" s="14" t="str">
        <f>IF(F79&gt;='Asumsi &amp; Bobot'!$C$15,"Mendapat Bonus","Tidak Mendapat Bonus")</f>
        <v>Tidak Mendapat Bonus</v>
      </c>
      <c r="H79" s="26">
        <f t="shared" si="1"/>
        <v>0</v>
      </c>
      <c r="I79" s="20">
        <f>IF(G79="Mendapat Bonus",H79*'Asumsi &amp; Bobot'!$C$16,0)</f>
        <v>0</v>
      </c>
    </row>
    <row r="80" spans="1:9" ht="15" customHeight="1" x14ac:dyDescent="0.35">
      <c r="A80" s="22">
        <f>'Vektor S &amp; V'!J80</f>
        <v>152</v>
      </c>
      <c r="B80" s="8" t="str">
        <f>'Vektor S &amp; V'!B80</f>
        <v>Senior Software Engineer</v>
      </c>
      <c r="C80" s="11" t="str">
        <f>'Data Mentah'!C80</f>
        <v>Master's</v>
      </c>
      <c r="D80" s="23">
        <f>'Data Mentah'!E80</f>
        <v>6</v>
      </c>
      <c r="E80" s="24">
        <f>'Data Mentah'!F80</f>
        <v>100000</v>
      </c>
      <c r="F80" s="27">
        <f>'Vektor S &amp; V'!I80</f>
        <v>2.532463439842994E-3</v>
      </c>
      <c r="G80" s="11" t="str">
        <f>IF(F80&gt;='Asumsi &amp; Bobot'!$C$15,"Mendapat Bonus","Tidak Mendapat Bonus")</f>
        <v>Tidak Mendapat Bonus</v>
      </c>
      <c r="H80" s="27">
        <f t="shared" si="1"/>
        <v>0</v>
      </c>
      <c r="I80" s="24">
        <f>IF(G80="Mendapat Bonus",H80*'Asumsi &amp; Bobot'!$C$16,0)</f>
        <v>0</v>
      </c>
    </row>
    <row r="81" spans="1:9" ht="15" customHeight="1" x14ac:dyDescent="0.35">
      <c r="A81" s="18">
        <f>'Vektor S &amp; V'!J81</f>
        <v>43</v>
      </c>
      <c r="B81" s="17" t="str">
        <f>'Vektor S &amp; V'!B81</f>
        <v>Human Resources Director</v>
      </c>
      <c r="C81" s="14" t="str">
        <f>'Data Mentah'!C81</f>
        <v>Master's</v>
      </c>
      <c r="D81" s="19">
        <f>'Data Mentah'!E81</f>
        <v>20</v>
      </c>
      <c r="E81" s="20">
        <f>'Data Mentah'!F81</f>
        <v>180000</v>
      </c>
      <c r="F81" s="26">
        <f>'Vektor S &amp; V'!I81</f>
        <v>4.4902965441089441E-3</v>
      </c>
      <c r="G81" s="14" t="str">
        <f>IF(F81&gt;='Asumsi &amp; Bobot'!$C$15,"Mendapat Bonus","Tidak Mendapat Bonus")</f>
        <v>Mendapat Bonus</v>
      </c>
      <c r="H81" s="26">
        <f t="shared" si="1"/>
        <v>1.3586456172437457E-2</v>
      </c>
      <c r="I81" s="20">
        <f>IF(G81="Mendapat Bonus",H81*'Asumsi &amp; Bobot'!$C$16,0)</f>
        <v>679.32280862187281</v>
      </c>
    </row>
    <row r="82" spans="1:9" ht="15" customHeight="1" x14ac:dyDescent="0.35">
      <c r="A82" s="22">
        <f>'Vektor S &amp; V'!J82</f>
        <v>290</v>
      </c>
      <c r="B82" s="8" t="str">
        <f>'Vektor S &amp; V'!B82</f>
        <v>Content Marketing Manager</v>
      </c>
      <c r="C82" s="11" t="str">
        <f>'Data Mentah'!C82</f>
        <v>Bachelor's</v>
      </c>
      <c r="D82" s="23">
        <f>'Data Mentah'!E82</f>
        <v>3</v>
      </c>
      <c r="E82" s="24">
        <f>'Data Mentah'!F82</f>
        <v>55000</v>
      </c>
      <c r="F82" s="27">
        <f>'Vektor S &amp; V'!I82</f>
        <v>1.6676526542905724E-3</v>
      </c>
      <c r="G82" s="11" t="str">
        <f>IF(F82&gt;='Asumsi &amp; Bobot'!$C$15,"Mendapat Bonus","Tidak Mendapat Bonus")</f>
        <v>Tidak Mendapat Bonus</v>
      </c>
      <c r="H82" s="27">
        <f t="shared" si="1"/>
        <v>0</v>
      </c>
      <c r="I82" s="24">
        <f>IF(G82="Mendapat Bonus",H82*'Asumsi &amp; Bobot'!$C$16,0)</f>
        <v>0</v>
      </c>
    </row>
    <row r="83" spans="1:9" ht="15" customHeight="1" x14ac:dyDescent="0.35">
      <c r="A83" s="18">
        <f>'Vektor S &amp; V'!J83</f>
        <v>241</v>
      </c>
      <c r="B83" s="17" t="str">
        <f>'Vektor S &amp; V'!B83</f>
        <v>Technical Recruiter</v>
      </c>
      <c r="C83" s="14" t="str">
        <f>'Data Mentah'!C83</f>
        <v>Bachelor's</v>
      </c>
      <c r="D83" s="19">
        <f>'Data Mentah'!E83</f>
        <v>8</v>
      </c>
      <c r="E83" s="20">
        <f>'Data Mentah'!F83</f>
        <v>70000</v>
      </c>
      <c r="F83" s="26">
        <f>'Vektor S &amp; V'!I83</f>
        <v>1.8870200057537051E-3</v>
      </c>
      <c r="G83" s="14" t="str">
        <f>IF(F83&gt;='Asumsi &amp; Bobot'!$C$15,"Mendapat Bonus","Tidak Mendapat Bonus")</f>
        <v>Tidak Mendapat Bonus</v>
      </c>
      <c r="H83" s="26">
        <f t="shared" si="1"/>
        <v>0</v>
      </c>
      <c r="I83" s="20">
        <f>IF(G83="Mendapat Bonus",H83*'Asumsi &amp; Bobot'!$C$16,0)</f>
        <v>0</v>
      </c>
    </row>
    <row r="84" spans="1:9" ht="15" customHeight="1" x14ac:dyDescent="0.35">
      <c r="A84" s="22">
        <f>'Vektor S &amp; V'!J84</f>
        <v>66</v>
      </c>
      <c r="B84" s="8" t="str">
        <f>'Vektor S &amp; V'!B84</f>
        <v>Data Analyst</v>
      </c>
      <c r="C84" s="11" t="str">
        <f>'Data Mentah'!C84</f>
        <v>Master's</v>
      </c>
      <c r="D84" s="23">
        <f>'Data Mentah'!E84</f>
        <v>13</v>
      </c>
      <c r="E84" s="24">
        <f>'Data Mentah'!F84</f>
        <v>80000</v>
      </c>
      <c r="F84" s="27">
        <f>'Vektor S &amp; V'!I84</f>
        <v>4.0980967960565634E-3</v>
      </c>
      <c r="G84" s="11" t="str">
        <f>IF(F84&gt;='Asumsi &amp; Bobot'!$C$15,"Mendapat Bonus","Tidak Mendapat Bonus")</f>
        <v>Mendapat Bonus</v>
      </c>
      <c r="H84" s="27">
        <f t="shared" si="1"/>
        <v>1.2399762902758963E-2</v>
      </c>
      <c r="I84" s="24">
        <f>IF(G84="Mendapat Bonus",H84*'Asumsi &amp; Bobot'!$C$16,0)</f>
        <v>619.98814513794809</v>
      </c>
    </row>
    <row r="85" spans="1:9" ht="15" customHeight="1" x14ac:dyDescent="0.35">
      <c r="A85" s="18">
        <f>'Vektor S &amp; V'!J85</f>
        <v>372</v>
      </c>
      <c r="B85" s="17" t="str">
        <f>'Vektor S &amp; V'!B85</f>
        <v>Sales Representative</v>
      </c>
      <c r="C85" s="14" t="str">
        <f>'Data Mentah'!C85</f>
        <v>Bachelor's</v>
      </c>
      <c r="D85" s="19">
        <f>'Data Mentah'!E85</f>
        <v>0</v>
      </c>
      <c r="E85" s="20">
        <f>'Data Mentah'!F85</f>
        <v>30000</v>
      </c>
      <c r="F85" s="26">
        <f>'Vektor S &amp; V'!I85</f>
        <v>1.0301684754541573E-3</v>
      </c>
      <c r="G85" s="14" t="str">
        <f>IF(F85&gt;='Asumsi &amp; Bobot'!$C$15,"Mendapat Bonus","Tidak Mendapat Bonus")</f>
        <v>Tidak Mendapat Bonus</v>
      </c>
      <c r="H85" s="26">
        <f t="shared" si="1"/>
        <v>0</v>
      </c>
      <c r="I85" s="20">
        <f>IF(G85="Mendapat Bonus",H85*'Asumsi &amp; Bobot'!$C$16,0)</f>
        <v>0</v>
      </c>
    </row>
    <row r="86" spans="1:9" ht="15" customHeight="1" x14ac:dyDescent="0.35">
      <c r="A86" s="22">
        <f>'Vektor S &amp; V'!J86</f>
        <v>28</v>
      </c>
      <c r="B86" s="8" t="str">
        <f>'Vektor S &amp; V'!B86</f>
        <v>Chief Technology Officer</v>
      </c>
      <c r="C86" s="11" t="str">
        <f>'Data Mentah'!C86</f>
        <v>PhD</v>
      </c>
      <c r="D86" s="23">
        <f>'Data Mentah'!E86</f>
        <v>24</v>
      </c>
      <c r="E86" s="24">
        <f>'Data Mentah'!F86</f>
        <v>250000</v>
      </c>
      <c r="F86" s="27">
        <f>'Vektor S &amp; V'!I86</f>
        <v>4.7086468354853592E-3</v>
      </c>
      <c r="G86" s="11" t="str">
        <f>IF(F86&gt;='Asumsi &amp; Bobot'!$C$15,"Mendapat Bonus","Tidak Mendapat Bonus")</f>
        <v>Mendapat Bonus</v>
      </c>
      <c r="H86" s="27">
        <f t="shared" si="1"/>
        <v>1.4247126717218438E-2</v>
      </c>
      <c r="I86" s="24">
        <f>IF(G86="Mendapat Bonus",H86*'Asumsi &amp; Bobot'!$C$16,0)</f>
        <v>712.35633586092194</v>
      </c>
    </row>
    <row r="87" spans="1:9" ht="15" customHeight="1" x14ac:dyDescent="0.35">
      <c r="A87" s="18">
        <f>'Vektor S &amp; V'!J87</f>
        <v>302</v>
      </c>
      <c r="B87" s="17" t="str">
        <f>'Vektor S &amp; V'!B87</f>
        <v>Junior Designer</v>
      </c>
      <c r="C87" s="14" t="str">
        <f>'Data Mentah'!C87</f>
        <v>Bachelor's</v>
      </c>
      <c r="D87" s="19">
        <f>'Data Mentah'!E87</f>
        <v>2</v>
      </c>
      <c r="E87" s="20">
        <f>'Data Mentah'!F87</f>
        <v>40000</v>
      </c>
      <c r="F87" s="26">
        <f>'Vektor S &amp; V'!I87</f>
        <v>1.5753991877227921E-3</v>
      </c>
      <c r="G87" s="14" t="str">
        <f>IF(F87&gt;='Asumsi &amp; Bobot'!$C$15,"Mendapat Bonus","Tidak Mendapat Bonus")</f>
        <v>Tidak Mendapat Bonus</v>
      </c>
      <c r="H87" s="26">
        <f t="shared" si="1"/>
        <v>0</v>
      </c>
      <c r="I87" s="20">
        <f>IF(G87="Mendapat Bonus",H87*'Asumsi &amp; Bobot'!$C$16,0)</f>
        <v>0</v>
      </c>
    </row>
    <row r="88" spans="1:9" ht="15" customHeight="1" x14ac:dyDescent="0.35">
      <c r="A88" s="22">
        <f>'Vektor S &amp; V'!J88</f>
        <v>114</v>
      </c>
      <c r="B88" s="8" t="str">
        <f>'Vektor S &amp; V'!B88</f>
        <v>Financial Advisor</v>
      </c>
      <c r="C88" s="11" t="str">
        <f>'Data Mentah'!C88</f>
        <v>Master's</v>
      </c>
      <c r="D88" s="23">
        <f>'Data Mentah'!E88</f>
        <v>10</v>
      </c>
      <c r="E88" s="24">
        <f>'Data Mentah'!F88</f>
        <v>95000</v>
      </c>
      <c r="F88" s="27">
        <f>'Vektor S &amp; V'!I88</f>
        <v>3.4668792956977575E-3</v>
      </c>
      <c r="G88" s="11" t="str">
        <f>IF(F88&gt;='Asumsi &amp; Bobot'!$C$15,"Mendapat Bonus","Tidak Mendapat Bonus")</f>
        <v>Tidak Mendapat Bonus</v>
      </c>
      <c r="H88" s="27">
        <f t="shared" si="1"/>
        <v>0</v>
      </c>
      <c r="I88" s="24">
        <f>IF(G88="Mendapat Bonus",H88*'Asumsi &amp; Bobot'!$C$16,0)</f>
        <v>0</v>
      </c>
    </row>
    <row r="89" spans="1:9" ht="15" customHeight="1" x14ac:dyDescent="0.35">
      <c r="A89" s="18">
        <f>'Vektor S &amp; V'!J89</f>
        <v>361</v>
      </c>
      <c r="B89" s="17" t="str">
        <f>'Vektor S &amp; V'!B89</f>
        <v>Junior Account Manager</v>
      </c>
      <c r="C89" s="14" t="str">
        <f>'Data Mentah'!C89</f>
        <v>Bachelor's</v>
      </c>
      <c r="D89" s="19">
        <f>'Data Mentah'!E89</f>
        <v>2</v>
      </c>
      <c r="E89" s="20">
        <f>'Data Mentah'!F89</f>
        <v>45000</v>
      </c>
      <c r="F89" s="26">
        <f>'Vektor S &amp; V'!I89</f>
        <v>1.2753588449517493E-3</v>
      </c>
      <c r="G89" s="14" t="str">
        <f>IF(F89&gt;='Asumsi &amp; Bobot'!$C$15,"Mendapat Bonus","Tidak Mendapat Bonus")</f>
        <v>Tidak Mendapat Bonus</v>
      </c>
      <c r="H89" s="26">
        <f t="shared" si="1"/>
        <v>0</v>
      </c>
      <c r="I89" s="20">
        <f>IF(G89="Mendapat Bonus",H89*'Asumsi &amp; Bobot'!$C$16,0)</f>
        <v>0</v>
      </c>
    </row>
    <row r="90" spans="1:9" ht="15" customHeight="1" x14ac:dyDescent="0.35">
      <c r="A90" s="22">
        <f>'Vektor S &amp; V'!J90</f>
        <v>143</v>
      </c>
      <c r="B90" s="8" t="str">
        <f>'Vektor S &amp; V'!B90</f>
        <v>HR Generalist</v>
      </c>
      <c r="C90" s="11" t="str">
        <f>'Data Mentah'!C90</f>
        <v>Bachelor's</v>
      </c>
      <c r="D90" s="23">
        <f>'Data Mentah'!E90</f>
        <v>15</v>
      </c>
      <c r="E90" s="24">
        <f>'Data Mentah'!F90</f>
        <v>80000</v>
      </c>
      <c r="F90" s="27">
        <f>'Vektor S &amp; V'!I90</f>
        <v>2.6807687148618967E-3</v>
      </c>
      <c r="G90" s="11" t="str">
        <f>IF(F90&gt;='Asumsi &amp; Bobot'!$C$15,"Mendapat Bonus","Tidak Mendapat Bonus")</f>
        <v>Tidak Mendapat Bonus</v>
      </c>
      <c r="H90" s="27">
        <f t="shared" si="1"/>
        <v>0</v>
      </c>
      <c r="I90" s="24">
        <f>IF(G90="Mendapat Bonus",H90*'Asumsi &amp; Bobot'!$C$16,0)</f>
        <v>0</v>
      </c>
    </row>
    <row r="91" spans="1:9" ht="15" customHeight="1" x14ac:dyDescent="0.35">
      <c r="A91" s="18">
        <f>'Vektor S &amp; V'!J91</f>
        <v>73</v>
      </c>
      <c r="B91" s="17" t="str">
        <f>'Vektor S &amp; V'!B91</f>
        <v>Senior Project Manager</v>
      </c>
      <c r="C91" s="14" t="str">
        <f>'Data Mentah'!C91</f>
        <v>Master's</v>
      </c>
      <c r="D91" s="19">
        <f>'Data Mentah'!E91</f>
        <v>21</v>
      </c>
      <c r="E91" s="20">
        <f>'Data Mentah'!F91</f>
        <v>135000</v>
      </c>
      <c r="F91" s="26">
        <f>'Vektor S &amp; V'!I91</f>
        <v>3.97771671574594E-3</v>
      </c>
      <c r="G91" s="14" t="str">
        <f>IF(F91&gt;='Asumsi &amp; Bobot'!$C$15,"Mendapat Bonus","Tidak Mendapat Bonus")</f>
        <v>Tidak Mendapat Bonus</v>
      </c>
      <c r="H91" s="26">
        <f t="shared" si="1"/>
        <v>0</v>
      </c>
      <c r="I91" s="20">
        <f>IF(G91="Mendapat Bonus",H91*'Asumsi &amp; Bobot'!$C$16,0)</f>
        <v>0</v>
      </c>
    </row>
    <row r="92" spans="1:9" ht="15" customHeight="1" x14ac:dyDescent="0.35">
      <c r="A92" s="22">
        <f>'Vektor S &amp; V'!J92</f>
        <v>229</v>
      </c>
      <c r="B92" s="8" t="str">
        <f>'Vektor S &amp; V'!B92</f>
        <v>Marketing Coordinator</v>
      </c>
      <c r="C92" s="11" t="str">
        <f>'Data Mentah'!C92</f>
        <v>Bachelor's</v>
      </c>
      <c r="D92" s="23">
        <f>'Data Mentah'!E92</f>
        <v>6</v>
      </c>
      <c r="E92" s="24">
        <f>'Data Mentah'!F92</f>
        <v>55000</v>
      </c>
      <c r="F92" s="27">
        <f>'Vektor S &amp; V'!I92</f>
        <v>1.952856326027857E-3</v>
      </c>
      <c r="G92" s="11" t="str">
        <f>IF(F92&gt;='Asumsi &amp; Bobot'!$C$15,"Mendapat Bonus","Tidak Mendapat Bonus")</f>
        <v>Tidak Mendapat Bonus</v>
      </c>
      <c r="H92" s="27">
        <f t="shared" si="1"/>
        <v>0</v>
      </c>
      <c r="I92" s="24">
        <f>IF(G92="Mendapat Bonus",H92*'Asumsi &amp; Bobot'!$C$16,0)</f>
        <v>0</v>
      </c>
    </row>
    <row r="93" spans="1:9" ht="15" customHeight="1" x14ac:dyDescent="0.35">
      <c r="A93" s="18">
        <f>'Vektor S &amp; V'!J93</f>
        <v>110</v>
      </c>
      <c r="B93" s="17" t="str">
        <f>'Vektor S &amp; V'!B93</f>
        <v>Principal Scientist</v>
      </c>
      <c r="C93" s="14" t="str">
        <f>'Data Mentah'!C93</f>
        <v>PhD</v>
      </c>
      <c r="D93" s="19">
        <f>'Data Mentah'!E93</f>
        <v>11</v>
      </c>
      <c r="E93" s="20">
        <f>'Data Mentah'!F93</f>
        <v>120000</v>
      </c>
      <c r="F93" s="26">
        <f>'Vektor S &amp; V'!I93</f>
        <v>3.5809570347057167E-3</v>
      </c>
      <c r="G93" s="14" t="str">
        <f>IF(F93&gt;='Asumsi &amp; Bobot'!$C$15,"Mendapat Bonus","Tidak Mendapat Bonus")</f>
        <v>Tidak Mendapat Bonus</v>
      </c>
      <c r="H93" s="26">
        <f t="shared" si="1"/>
        <v>0</v>
      </c>
      <c r="I93" s="20">
        <f>IF(G93="Mendapat Bonus",H93*'Asumsi &amp; Bobot'!$C$16,0)</f>
        <v>0</v>
      </c>
    </row>
    <row r="94" spans="1:9" ht="15" customHeight="1" x14ac:dyDescent="0.35">
      <c r="A94" s="22">
        <f>'Vektor S &amp; V'!J94</f>
        <v>287</v>
      </c>
      <c r="B94" s="8" t="str">
        <f>'Vektor S &amp; V'!B94</f>
        <v>Sales Associate</v>
      </c>
      <c r="C94" s="11" t="str">
        <f>'Data Mentah'!C94</f>
        <v>Bachelor's</v>
      </c>
      <c r="D94" s="23">
        <f>'Data Mentah'!E94</f>
        <v>3</v>
      </c>
      <c r="E94" s="24">
        <f>'Data Mentah'!F94</f>
        <v>40000</v>
      </c>
      <c r="F94" s="27">
        <f>'Vektor S &amp; V'!I94</f>
        <v>1.6784261860232532E-3</v>
      </c>
      <c r="G94" s="11" t="str">
        <f>IF(F94&gt;='Asumsi &amp; Bobot'!$C$15,"Mendapat Bonus","Tidak Mendapat Bonus")</f>
        <v>Tidak Mendapat Bonus</v>
      </c>
      <c r="H94" s="27">
        <f t="shared" si="1"/>
        <v>0</v>
      </c>
      <c r="I94" s="24">
        <f>IF(G94="Mendapat Bonus",H94*'Asumsi &amp; Bobot'!$C$16,0)</f>
        <v>0</v>
      </c>
    </row>
    <row r="95" spans="1:9" ht="15" customHeight="1" x14ac:dyDescent="0.35">
      <c r="A95" s="18">
        <f>'Vektor S &amp; V'!J95</f>
        <v>171</v>
      </c>
      <c r="B95" s="17" t="str">
        <f>'Vektor S &amp; V'!B95</f>
        <v>Supply Chain Manager</v>
      </c>
      <c r="C95" s="14" t="str">
        <f>'Data Mentah'!C95</f>
        <v>Bachelor's</v>
      </c>
      <c r="D95" s="19">
        <f>'Data Mentah'!E95</f>
        <v>18</v>
      </c>
      <c r="E95" s="20">
        <f>'Data Mentah'!F95</f>
        <v>105000</v>
      </c>
      <c r="F95" s="26">
        <f>'Vektor S &amp; V'!I95</f>
        <v>2.4210359429299886E-3</v>
      </c>
      <c r="G95" s="14" t="str">
        <f>IF(F95&gt;='Asumsi &amp; Bobot'!$C$15,"Mendapat Bonus","Tidak Mendapat Bonus")</f>
        <v>Tidak Mendapat Bonus</v>
      </c>
      <c r="H95" s="26">
        <f t="shared" si="1"/>
        <v>0</v>
      </c>
      <c r="I95" s="20">
        <f>IF(G95="Mendapat Bonus",H95*'Asumsi &amp; Bobot'!$C$16,0)</f>
        <v>0</v>
      </c>
    </row>
    <row r="96" spans="1:9" ht="15" customHeight="1" x14ac:dyDescent="0.35">
      <c r="A96" s="22">
        <f>'Vektor S &amp; V'!J96</f>
        <v>8</v>
      </c>
      <c r="B96" s="8" t="str">
        <f>'Vektor S &amp; V'!B96</f>
        <v>Senior Marketing Manager</v>
      </c>
      <c r="C96" s="11" t="str">
        <f>'Data Mentah'!C96</f>
        <v>Master's</v>
      </c>
      <c r="D96" s="23">
        <f>'Data Mentah'!E96</f>
        <v>25</v>
      </c>
      <c r="E96" s="24">
        <f>'Data Mentah'!F96</f>
        <v>170000</v>
      </c>
      <c r="F96" s="27">
        <f>'Vektor S &amp; V'!I96</f>
        <v>4.9583365924366716E-3</v>
      </c>
      <c r="G96" s="11" t="str">
        <f>IF(F96&gt;='Asumsi &amp; Bobot'!$C$15,"Mendapat Bonus","Tidak Mendapat Bonus")</f>
        <v>Mendapat Bonus</v>
      </c>
      <c r="H96" s="27">
        <f t="shared" si="1"/>
        <v>1.5002622240999875E-2</v>
      </c>
      <c r="I96" s="24">
        <f>IF(G96="Mendapat Bonus",H96*'Asumsi &amp; Bobot'!$C$16,0)</f>
        <v>750.1311120499937</v>
      </c>
    </row>
    <row r="97" spans="1:9" ht="15" customHeight="1" x14ac:dyDescent="0.35">
      <c r="A97" s="18">
        <f>'Vektor S &amp; V'!J97</f>
        <v>271</v>
      </c>
      <c r="B97" s="17" t="str">
        <f>'Vektor S &amp; V'!B97</f>
        <v>Business Analyst</v>
      </c>
      <c r="C97" s="14" t="str">
        <f>'Data Mentah'!C97</f>
        <v>Bachelor's</v>
      </c>
      <c r="D97" s="19">
        <f>'Data Mentah'!E97</f>
        <v>7</v>
      </c>
      <c r="E97" s="20">
        <f>'Data Mentah'!F97</f>
        <v>75000</v>
      </c>
      <c r="F97" s="26">
        <f>'Vektor S &amp; V'!I97</f>
        <v>1.7424238626381258E-3</v>
      </c>
      <c r="G97" s="14" t="str">
        <f>IF(F97&gt;='Asumsi &amp; Bobot'!$C$15,"Mendapat Bonus","Tidak Mendapat Bonus")</f>
        <v>Tidak Mendapat Bonus</v>
      </c>
      <c r="H97" s="26">
        <f t="shared" si="1"/>
        <v>0</v>
      </c>
      <c r="I97" s="20">
        <f>IF(G97="Mendapat Bonus",H97*'Asumsi &amp; Bobot'!$C$16,0)</f>
        <v>0</v>
      </c>
    </row>
    <row r="98" spans="1:9" ht="15" customHeight="1" x14ac:dyDescent="0.35">
      <c r="A98" s="22">
        <f>'Vektor S &amp; V'!J98</f>
        <v>150</v>
      </c>
      <c r="B98" s="8" t="str">
        <f>'Vektor S &amp; V'!B98</f>
        <v>Training Specialist</v>
      </c>
      <c r="C98" s="11" t="str">
        <f>'Data Mentah'!C98</f>
        <v>Bachelor's</v>
      </c>
      <c r="D98" s="23">
        <f>'Data Mentah'!E98</f>
        <v>12</v>
      </c>
      <c r="E98" s="24">
        <f>'Data Mentah'!F98</f>
        <v>65000</v>
      </c>
      <c r="F98" s="27">
        <f>'Vektor S &amp; V'!I98</f>
        <v>2.5458617239643901E-3</v>
      </c>
      <c r="G98" s="11" t="str">
        <f>IF(F98&gt;='Asumsi &amp; Bobot'!$C$15,"Mendapat Bonus","Tidak Mendapat Bonus")</f>
        <v>Tidak Mendapat Bonus</v>
      </c>
      <c r="H98" s="27">
        <f t="shared" si="1"/>
        <v>0</v>
      </c>
      <c r="I98" s="24">
        <f>IF(G98="Mendapat Bonus",H98*'Asumsi &amp; Bobot'!$C$16,0)</f>
        <v>0</v>
      </c>
    </row>
    <row r="99" spans="1:9" ht="15" customHeight="1" x14ac:dyDescent="0.35">
      <c r="A99" s="18">
        <f>'Vektor S &amp; V'!J99</f>
        <v>30</v>
      </c>
      <c r="B99" s="17" t="str">
        <f>'Vektor S &amp; V'!B99</f>
        <v>Research Scientist</v>
      </c>
      <c r="C99" s="14" t="str">
        <f>'Data Mentah'!C99</f>
        <v>PhD</v>
      </c>
      <c r="D99" s="19">
        <f>'Data Mentah'!E99</f>
        <v>22</v>
      </c>
      <c r="E99" s="20">
        <f>'Data Mentah'!F99</f>
        <v>160000</v>
      </c>
      <c r="F99" s="26">
        <f>'Vektor S &amp; V'!I99</f>
        <v>4.6749809466188653E-3</v>
      </c>
      <c r="G99" s="14" t="str">
        <f>IF(F99&gt;='Asumsi &amp; Bobot'!$C$15,"Mendapat Bonus","Tidak Mendapat Bonus")</f>
        <v>Mendapat Bonus</v>
      </c>
      <c r="H99" s="26">
        <f t="shared" si="1"/>
        <v>1.4145262593301977E-2</v>
      </c>
      <c r="I99" s="20">
        <f>IF(G99="Mendapat Bonus",H99*'Asumsi &amp; Bobot'!$C$16,0)</f>
        <v>707.26312966509886</v>
      </c>
    </row>
    <row r="100" spans="1:9" ht="15" customHeight="1" x14ac:dyDescent="0.35">
      <c r="A100" s="22">
        <f>'Vektor S &amp; V'!J100</f>
        <v>368</v>
      </c>
      <c r="B100" s="8" t="str">
        <f>'Vektor S &amp; V'!B100</f>
        <v>Junior Software Developer</v>
      </c>
      <c r="C100" s="11" t="str">
        <f>'Data Mentah'!C100</f>
        <v>Bachelor's</v>
      </c>
      <c r="D100" s="23">
        <f>'Data Mentah'!E100</f>
        <v>1</v>
      </c>
      <c r="E100" s="24">
        <f>'Data Mentah'!F100</f>
        <v>35000</v>
      </c>
      <c r="F100" s="27">
        <f>'Vektor S &amp; V'!I100</f>
        <v>1.1681824863162868E-3</v>
      </c>
      <c r="G100" s="11" t="str">
        <f>IF(F100&gt;='Asumsi &amp; Bobot'!$C$15,"Mendapat Bonus","Tidak Mendapat Bonus")</f>
        <v>Tidak Mendapat Bonus</v>
      </c>
      <c r="H100" s="27">
        <f t="shared" si="1"/>
        <v>0</v>
      </c>
      <c r="I100" s="24">
        <f>IF(G100="Mendapat Bonus",H100*'Asumsi &amp; Bobot'!$C$16,0)</f>
        <v>0</v>
      </c>
    </row>
    <row r="101" spans="1:9" ht="15" customHeight="1" x14ac:dyDescent="0.35">
      <c r="A101" s="18">
        <f>'Vektor S &amp; V'!J101</f>
        <v>103</v>
      </c>
      <c r="B101" s="17" t="str">
        <f>'Vektor S &amp; V'!B101</f>
        <v>Public Relations Manager</v>
      </c>
      <c r="C101" s="14" t="str">
        <f>'Data Mentah'!C101</f>
        <v>Master's</v>
      </c>
      <c r="D101" s="19">
        <f>'Data Mentah'!E101</f>
        <v>10</v>
      </c>
      <c r="E101" s="20">
        <f>'Data Mentah'!F101</f>
        <v>90000</v>
      </c>
      <c r="F101" s="26">
        <f>'Vektor S &amp; V'!I101</f>
        <v>3.662122785656871E-3</v>
      </c>
      <c r="G101" s="14" t="str">
        <f>IF(F101&gt;='Asumsi &amp; Bobot'!$C$15,"Mendapat Bonus","Tidak Mendapat Bonus")</f>
        <v>Tidak Mendapat Bonus</v>
      </c>
      <c r="H101" s="26">
        <f t="shared" si="1"/>
        <v>0</v>
      </c>
      <c r="I101" s="20">
        <f>IF(G101="Mendapat Bonus",H101*'Asumsi &amp; Bobot'!$C$16,0)</f>
        <v>0</v>
      </c>
    </row>
    <row r="102" spans="1:9" ht="15" customHeight="1" x14ac:dyDescent="0.35">
      <c r="A102" s="22">
        <f>'Vektor S &amp; V'!J102</f>
        <v>154</v>
      </c>
      <c r="B102" s="8" t="str">
        <f>'Vektor S &amp; V'!B102</f>
        <v>Operations Analyst</v>
      </c>
      <c r="C102" s="11" t="str">
        <f>'Data Mentah'!C102</f>
        <v>Bachelor's</v>
      </c>
      <c r="D102" s="23">
        <f>'Data Mentah'!E102</f>
        <v>20</v>
      </c>
      <c r="E102" s="24">
        <f>'Data Mentah'!F102</f>
        <v>110000</v>
      </c>
      <c r="F102" s="27">
        <f>'Vektor S &amp; V'!I102</f>
        <v>2.5252347427880449E-3</v>
      </c>
      <c r="G102" s="11" t="str">
        <f>IF(F102&gt;='Asumsi &amp; Bobot'!$C$15,"Mendapat Bonus","Tidak Mendapat Bonus")</f>
        <v>Tidak Mendapat Bonus</v>
      </c>
      <c r="H102" s="27">
        <f t="shared" si="1"/>
        <v>0</v>
      </c>
      <c r="I102" s="24">
        <f>IF(G102="Mendapat Bonus",H102*'Asumsi &amp; Bobot'!$C$16,0)</f>
        <v>0</v>
      </c>
    </row>
    <row r="103" spans="1:9" ht="15" customHeight="1" x14ac:dyDescent="0.35">
      <c r="A103" s="18">
        <f>'Vektor S &amp; V'!J103</f>
        <v>233</v>
      </c>
      <c r="B103" s="17" t="str">
        <f>'Vektor S &amp; V'!B103</f>
        <v>Event Coordinator</v>
      </c>
      <c r="C103" s="14" t="str">
        <f>'Data Mentah'!C103</f>
        <v>Bachelor's</v>
      </c>
      <c r="D103" s="19">
        <f>'Data Mentah'!E103</f>
        <v>5</v>
      </c>
      <c r="E103" s="20">
        <f>'Data Mentah'!F103</f>
        <v>45000</v>
      </c>
      <c r="F103" s="26">
        <f>'Vektor S &amp; V'!I103</f>
        <v>1.9083301295563628E-3</v>
      </c>
      <c r="G103" s="14" t="str">
        <f>IF(F103&gt;='Asumsi &amp; Bobot'!$C$15,"Mendapat Bonus","Tidak Mendapat Bonus")</f>
        <v>Tidak Mendapat Bonus</v>
      </c>
      <c r="H103" s="26">
        <f t="shared" si="1"/>
        <v>0</v>
      </c>
      <c r="I103" s="20">
        <f>IF(G103="Mendapat Bonus",H103*'Asumsi &amp; Bobot'!$C$16,0)</f>
        <v>0</v>
      </c>
    </row>
    <row r="104" spans="1:9" ht="15" customHeight="1" x14ac:dyDescent="0.35">
      <c r="A104" s="22">
        <f>'Vektor S &amp; V'!J104</f>
        <v>135</v>
      </c>
      <c r="B104" s="8" t="str">
        <f>'Vektor S &amp; V'!B104</f>
        <v>Product Marketing Manager</v>
      </c>
      <c r="C104" s="11" t="str">
        <f>'Data Mentah'!C104</f>
        <v>Master's</v>
      </c>
      <c r="D104" s="23">
        <f>'Data Mentah'!E104</f>
        <v>8</v>
      </c>
      <c r="E104" s="24">
        <f>'Data Mentah'!F104</f>
        <v>95000</v>
      </c>
      <c r="F104" s="27">
        <f>'Vektor S &amp; V'!I104</f>
        <v>2.8476584238242503E-3</v>
      </c>
      <c r="G104" s="11" t="str">
        <f>IF(F104&gt;='Asumsi &amp; Bobot'!$C$15,"Mendapat Bonus","Tidak Mendapat Bonus")</f>
        <v>Tidak Mendapat Bonus</v>
      </c>
      <c r="H104" s="27">
        <f t="shared" si="1"/>
        <v>0</v>
      </c>
      <c r="I104" s="24">
        <f>IF(G104="Mendapat Bonus",H104*'Asumsi &amp; Bobot'!$C$16,0)</f>
        <v>0</v>
      </c>
    </row>
    <row r="105" spans="1:9" ht="15" customHeight="1" x14ac:dyDescent="0.35">
      <c r="A105" s="18">
        <f>'Vektor S &amp; V'!J105</f>
        <v>41</v>
      </c>
      <c r="B105" s="17" t="str">
        <f>'Vektor S &amp; V'!B105</f>
        <v>Senior HR Manager</v>
      </c>
      <c r="C105" s="14" t="str">
        <f>'Data Mentah'!C105</f>
        <v>Master's</v>
      </c>
      <c r="D105" s="19">
        <f>'Data Mentah'!E105</f>
        <v>19</v>
      </c>
      <c r="E105" s="20">
        <f>'Data Mentah'!F105</f>
        <v>150000</v>
      </c>
      <c r="F105" s="26">
        <f>'Vektor S &amp; V'!I105</f>
        <v>4.5481668188411062E-3</v>
      </c>
      <c r="G105" s="14" t="str">
        <f>IF(F105&gt;='Asumsi &amp; Bobot'!$C$15,"Mendapat Bonus","Tidak Mendapat Bonus")</f>
        <v>Mendapat Bonus</v>
      </c>
      <c r="H105" s="26">
        <f t="shared" si="1"/>
        <v>1.376155640103304E-2</v>
      </c>
      <c r="I105" s="20">
        <f>IF(G105="Mendapat Bonus",H105*'Asumsi &amp; Bobot'!$C$16,0)</f>
        <v>688.077820051652</v>
      </c>
    </row>
    <row r="106" spans="1:9" ht="15" customHeight="1" x14ac:dyDescent="0.35">
      <c r="A106" s="22">
        <f>'Vektor S &amp; V'!J106</f>
        <v>288</v>
      </c>
      <c r="B106" s="8" t="str">
        <f>'Vektor S &amp; V'!B106</f>
        <v>Junior Web Developer</v>
      </c>
      <c r="C106" s="11" t="str">
        <f>'Data Mentah'!C106</f>
        <v>Bachelor's</v>
      </c>
      <c r="D106" s="23">
        <f>'Data Mentah'!E106</f>
        <v>5</v>
      </c>
      <c r="E106" s="24">
        <f>'Data Mentah'!F106</f>
        <v>50000</v>
      </c>
      <c r="F106" s="27">
        <f>'Vektor S &amp; V'!I106</f>
        <v>1.675851356601732E-3</v>
      </c>
      <c r="G106" s="11" t="str">
        <f>IF(F106&gt;='Asumsi &amp; Bobot'!$C$15,"Mendapat Bonus","Tidak Mendapat Bonus")</f>
        <v>Tidak Mendapat Bonus</v>
      </c>
      <c r="H106" s="27">
        <f t="shared" si="1"/>
        <v>0</v>
      </c>
      <c r="I106" s="24">
        <f>IF(G106="Mendapat Bonus",H106*'Asumsi &amp; Bobot'!$C$16,0)</f>
        <v>0</v>
      </c>
    </row>
    <row r="107" spans="1:9" ht="15" customHeight="1" x14ac:dyDescent="0.35">
      <c r="A107" s="18">
        <f>'Vektor S &amp; V'!J107</f>
        <v>71</v>
      </c>
      <c r="B107" s="17" t="str">
        <f>'Vektor S &amp; V'!B107</f>
        <v>Senior Project Coordinator</v>
      </c>
      <c r="C107" s="14" t="str">
        <f>'Data Mentah'!C107</f>
        <v>Master's</v>
      </c>
      <c r="D107" s="19">
        <f>'Data Mentah'!E107</f>
        <v>13</v>
      </c>
      <c r="E107" s="20">
        <f>'Data Mentah'!F107</f>
        <v>80000</v>
      </c>
      <c r="F107" s="26">
        <f>'Vektor S &amp; V'!I107</f>
        <v>4.0182024676961919E-3</v>
      </c>
      <c r="G107" s="14" t="str">
        <f>IF(F107&gt;='Asumsi &amp; Bobot'!$C$15,"Mendapat Bonus","Tidak Mendapat Bonus")</f>
        <v>Mendapat Bonus</v>
      </c>
      <c r="H107" s="26">
        <f t="shared" si="1"/>
        <v>1.2158023681299611E-2</v>
      </c>
      <c r="I107" s="20">
        <f>IF(G107="Mendapat Bonus",H107*'Asumsi &amp; Bobot'!$C$16,0)</f>
        <v>607.9011840649805</v>
      </c>
    </row>
    <row r="108" spans="1:9" ht="15" customHeight="1" x14ac:dyDescent="0.35">
      <c r="A108" s="22">
        <f>'Vektor S &amp; V'!J108</f>
        <v>72</v>
      </c>
      <c r="B108" s="8" t="str">
        <f>'Vektor S &amp; V'!B108</f>
        <v>Chief Data Officer</v>
      </c>
      <c r="C108" s="11" t="str">
        <f>'Data Mentah'!C108</f>
        <v>PhD</v>
      </c>
      <c r="D108" s="23">
        <f>'Data Mentah'!E108</f>
        <v>16</v>
      </c>
      <c r="E108" s="24">
        <f>'Data Mentah'!F108</f>
        <v>220000</v>
      </c>
      <c r="F108" s="27">
        <f>'Vektor S &amp; V'!I108</f>
        <v>4.0128914622092485E-3</v>
      </c>
      <c r="G108" s="11" t="str">
        <f>IF(F108&gt;='Asumsi &amp; Bobot'!$C$15,"Mendapat Bonus","Tidak Mendapat Bonus")</f>
        <v>Mendapat Bonus</v>
      </c>
      <c r="H108" s="27">
        <f t="shared" si="1"/>
        <v>1.2141953975753192E-2</v>
      </c>
      <c r="I108" s="24">
        <f>IF(G108="Mendapat Bonus",H108*'Asumsi &amp; Bobot'!$C$16,0)</f>
        <v>607.09769878765962</v>
      </c>
    </row>
    <row r="109" spans="1:9" ht="15" customHeight="1" x14ac:dyDescent="0.35">
      <c r="A109" s="18">
        <f>'Vektor S &amp; V'!J109</f>
        <v>286</v>
      </c>
      <c r="B109" s="17" t="str">
        <f>'Vektor S &amp; V'!B109</f>
        <v>Digital Content Producer</v>
      </c>
      <c r="C109" s="14" t="str">
        <f>'Data Mentah'!C109</f>
        <v>Bachelor's</v>
      </c>
      <c r="D109" s="19">
        <f>'Data Mentah'!E109</f>
        <v>3</v>
      </c>
      <c r="E109" s="20">
        <f>'Data Mentah'!F109</f>
        <v>50000</v>
      </c>
      <c r="F109" s="26">
        <f>'Vektor S &amp; V'!I109</f>
        <v>1.6816318992326441E-3</v>
      </c>
      <c r="G109" s="14" t="str">
        <f>IF(F109&gt;='Asumsi &amp; Bobot'!$C$15,"Mendapat Bonus","Tidak Mendapat Bonus")</f>
        <v>Tidak Mendapat Bonus</v>
      </c>
      <c r="H109" s="26">
        <f t="shared" si="1"/>
        <v>0</v>
      </c>
      <c r="I109" s="20">
        <f>IF(G109="Mendapat Bonus",H109*'Asumsi &amp; Bobot'!$C$16,0)</f>
        <v>0</v>
      </c>
    </row>
    <row r="110" spans="1:9" ht="15" customHeight="1" x14ac:dyDescent="0.35">
      <c r="A110" s="22">
        <f>'Vektor S &amp; V'!J110</f>
        <v>247</v>
      </c>
      <c r="B110" s="8" t="str">
        <f>'Vektor S &amp; V'!B110</f>
        <v>IT Support Specialist</v>
      </c>
      <c r="C110" s="11" t="str">
        <f>'Data Mentah'!C110</f>
        <v>Bachelor's</v>
      </c>
      <c r="D110" s="23">
        <f>'Data Mentah'!E110</f>
        <v>7</v>
      </c>
      <c r="E110" s="24">
        <f>'Data Mentah'!F110</f>
        <v>60000</v>
      </c>
      <c r="F110" s="27">
        <f>'Vektor S &amp; V'!I110</f>
        <v>1.8533349238506417E-3</v>
      </c>
      <c r="G110" s="11" t="str">
        <f>IF(F110&gt;='Asumsi &amp; Bobot'!$C$15,"Mendapat Bonus","Tidak Mendapat Bonus")</f>
        <v>Tidak Mendapat Bonus</v>
      </c>
      <c r="H110" s="27">
        <f t="shared" si="1"/>
        <v>0</v>
      </c>
      <c r="I110" s="24">
        <f>IF(G110="Mendapat Bonus",H110*'Asumsi &amp; Bobot'!$C$16,0)</f>
        <v>0</v>
      </c>
    </row>
    <row r="111" spans="1:9" ht="15" customHeight="1" x14ac:dyDescent="0.35">
      <c r="A111" s="18">
        <f>'Vektor S &amp; V'!J111</f>
        <v>67</v>
      </c>
      <c r="B111" s="17" t="str">
        <f>'Vektor S &amp; V'!B111</f>
        <v>Senior Marketing Analyst</v>
      </c>
      <c r="C111" s="14" t="str">
        <f>'Data Mentah'!C111</f>
        <v>Master's</v>
      </c>
      <c r="D111" s="19">
        <f>'Data Mentah'!E111</f>
        <v>14</v>
      </c>
      <c r="E111" s="20">
        <f>'Data Mentah'!F111</f>
        <v>100000</v>
      </c>
      <c r="F111" s="26">
        <f>'Vektor S &amp; V'!I111</f>
        <v>4.0887333284351113E-3</v>
      </c>
      <c r="G111" s="14" t="str">
        <f>IF(F111&gt;='Asumsi &amp; Bobot'!$C$15,"Mendapat Bonus","Tidak Mendapat Bonus")</f>
        <v>Mendapat Bonus</v>
      </c>
      <c r="H111" s="26">
        <f t="shared" si="1"/>
        <v>1.2371431512791457E-2</v>
      </c>
      <c r="I111" s="20">
        <f>IF(G111="Mendapat Bonus",H111*'Asumsi &amp; Bobot'!$C$16,0)</f>
        <v>618.57157563957287</v>
      </c>
    </row>
    <row r="112" spans="1:9" ht="15" customHeight="1" x14ac:dyDescent="0.35">
      <c r="A112" s="22">
        <f>'Vektor S &amp; V'!J112</f>
        <v>347</v>
      </c>
      <c r="B112" s="8" t="str">
        <f>'Vektor S &amp; V'!B112</f>
        <v>Customer Success Manager</v>
      </c>
      <c r="C112" s="11" t="str">
        <f>'Data Mentah'!C112</f>
        <v>Bachelor's</v>
      </c>
      <c r="D112" s="23">
        <f>'Data Mentah'!E112</f>
        <v>2</v>
      </c>
      <c r="E112" s="24">
        <f>'Data Mentah'!F112</f>
        <v>40000</v>
      </c>
      <c r="F112" s="27">
        <f>'Vektor S &amp; V'!I112</f>
        <v>1.3209316495539497E-3</v>
      </c>
      <c r="G112" s="11" t="str">
        <f>IF(F112&gt;='Asumsi &amp; Bobot'!$C$15,"Mendapat Bonus","Tidak Mendapat Bonus")</f>
        <v>Tidak Mendapat Bonus</v>
      </c>
      <c r="H112" s="27">
        <f t="shared" si="1"/>
        <v>0</v>
      </c>
      <c r="I112" s="24">
        <f>IF(G112="Mendapat Bonus",H112*'Asumsi &amp; Bobot'!$C$16,0)</f>
        <v>0</v>
      </c>
    </row>
    <row r="113" spans="1:9" ht="15" customHeight="1" x14ac:dyDescent="0.35">
      <c r="A113" s="18">
        <f>'Vektor S &amp; V'!J113</f>
        <v>60</v>
      </c>
      <c r="B113" s="17" t="str">
        <f>'Vektor S &amp; V'!B113</f>
        <v>Senior Graphic Designer</v>
      </c>
      <c r="C113" s="14" t="str">
        <f>'Data Mentah'!C113</f>
        <v>Master's</v>
      </c>
      <c r="D113" s="19">
        <f>'Data Mentah'!E113</f>
        <v>15</v>
      </c>
      <c r="E113" s="20">
        <f>'Data Mentah'!F113</f>
        <v>110000</v>
      </c>
      <c r="F113" s="26">
        <f>'Vektor S &amp; V'!I113</f>
        <v>4.1645948299496149E-3</v>
      </c>
      <c r="G113" s="14" t="str">
        <f>IF(F113&gt;='Asumsi &amp; Bobot'!$C$15,"Mendapat Bonus","Tidak Mendapat Bonus")</f>
        <v>Mendapat Bonus</v>
      </c>
      <c r="H113" s="26">
        <f t="shared" si="1"/>
        <v>1.2600968461048096E-2</v>
      </c>
      <c r="I113" s="20">
        <f>IF(G113="Mendapat Bonus",H113*'Asumsi &amp; Bobot'!$C$16,0)</f>
        <v>630.04842305240481</v>
      </c>
    </row>
    <row r="114" spans="1:9" ht="15" customHeight="1" x14ac:dyDescent="0.35">
      <c r="A114" s="22">
        <f>'Vektor S &amp; V'!J114</f>
        <v>235</v>
      </c>
      <c r="B114" s="8" t="str">
        <f>'Vektor S &amp; V'!B114</f>
        <v>Software Project Manager</v>
      </c>
      <c r="C114" s="11" t="str">
        <f>'Data Mentah'!C114</f>
        <v>Bachelor's</v>
      </c>
      <c r="D114" s="23">
        <f>'Data Mentah'!E114</f>
        <v>9</v>
      </c>
      <c r="E114" s="24">
        <f>'Data Mentah'!F114</f>
        <v>95000</v>
      </c>
      <c r="F114" s="27">
        <f>'Vektor S &amp; V'!I114</f>
        <v>1.907882641703156E-3</v>
      </c>
      <c r="G114" s="11" t="str">
        <f>IF(F114&gt;='Asumsi &amp; Bobot'!$C$15,"Mendapat Bonus","Tidak Mendapat Bonus")</f>
        <v>Tidak Mendapat Bonus</v>
      </c>
      <c r="H114" s="27">
        <f t="shared" si="1"/>
        <v>0</v>
      </c>
      <c r="I114" s="24">
        <f>IF(G114="Mendapat Bonus",H114*'Asumsi &amp; Bobot'!$C$16,0)</f>
        <v>0</v>
      </c>
    </row>
    <row r="115" spans="1:9" ht="15" customHeight="1" x14ac:dyDescent="0.35">
      <c r="A115" s="18">
        <f>'Vektor S &amp; V'!J115</f>
        <v>120</v>
      </c>
      <c r="B115" s="17" t="str">
        <f>'Vektor S &amp; V'!B115</f>
        <v>Supply Chain Analyst</v>
      </c>
      <c r="C115" s="14" t="str">
        <f>'Data Mentah'!C115</f>
        <v>Bachelor's</v>
      </c>
      <c r="D115" s="19">
        <f>'Data Mentah'!E115</f>
        <v>22</v>
      </c>
      <c r="E115" s="20">
        <f>'Data Mentah'!F115</f>
        <v>130000</v>
      </c>
      <c r="F115" s="26">
        <f>'Vektor S &amp; V'!I115</f>
        <v>3.0826767629202824E-3</v>
      </c>
      <c r="G115" s="14" t="str">
        <f>IF(F115&gt;='Asumsi &amp; Bobot'!$C$15,"Mendapat Bonus","Tidak Mendapat Bonus")</f>
        <v>Tidak Mendapat Bonus</v>
      </c>
      <c r="H115" s="26">
        <f t="shared" si="1"/>
        <v>0</v>
      </c>
      <c r="I115" s="20">
        <f>IF(G115="Mendapat Bonus",H115*'Asumsi &amp; Bobot'!$C$16,0)</f>
        <v>0</v>
      </c>
    </row>
    <row r="116" spans="1:9" ht="15" customHeight="1" x14ac:dyDescent="0.35">
      <c r="A116" s="22">
        <f>'Vektor S &amp; V'!J116</f>
        <v>148</v>
      </c>
      <c r="B116" s="8" t="str">
        <f>'Vektor S &amp; V'!B116</f>
        <v>Senior Business Analyst</v>
      </c>
      <c r="C116" s="11" t="str">
        <f>'Data Mentah'!C116</f>
        <v>Master's</v>
      </c>
      <c r="D116" s="23">
        <f>'Data Mentah'!E116</f>
        <v>6</v>
      </c>
      <c r="E116" s="24">
        <f>'Data Mentah'!F116</f>
        <v>90000</v>
      </c>
      <c r="F116" s="27">
        <f>'Vektor S &amp; V'!I116</f>
        <v>2.560219053691532E-3</v>
      </c>
      <c r="G116" s="11" t="str">
        <f>IF(F116&gt;='Asumsi &amp; Bobot'!$C$15,"Mendapat Bonus","Tidak Mendapat Bonus")</f>
        <v>Tidak Mendapat Bonus</v>
      </c>
      <c r="H116" s="27">
        <f t="shared" si="1"/>
        <v>0</v>
      </c>
      <c r="I116" s="24">
        <f>IF(G116="Mendapat Bonus",H116*'Asumsi &amp; Bobot'!$C$16,0)</f>
        <v>0</v>
      </c>
    </row>
    <row r="117" spans="1:9" ht="15" customHeight="1" x14ac:dyDescent="0.35">
      <c r="A117" s="18">
        <f>'Vektor S &amp; V'!J117</f>
        <v>370</v>
      </c>
      <c r="B117" s="17" t="str">
        <f>'Vektor S &amp; V'!B117</f>
        <v>Junior Marketing Analyst</v>
      </c>
      <c r="C117" s="14" t="str">
        <f>'Data Mentah'!C117</f>
        <v>Bachelor's</v>
      </c>
      <c r="D117" s="19">
        <f>'Data Mentah'!E117</f>
        <v>0.5</v>
      </c>
      <c r="E117" s="20">
        <f>'Data Mentah'!F117</f>
        <v>35000</v>
      </c>
      <c r="F117" s="26">
        <f>'Vektor S &amp; V'!I117</f>
        <v>1.142547691126046E-3</v>
      </c>
      <c r="G117" s="14" t="str">
        <f>IF(F117&gt;='Asumsi &amp; Bobot'!$C$15,"Mendapat Bonus","Tidak Mendapat Bonus")</f>
        <v>Tidak Mendapat Bonus</v>
      </c>
      <c r="H117" s="26">
        <f t="shared" si="1"/>
        <v>0</v>
      </c>
      <c r="I117" s="20">
        <f>IF(G117="Mendapat Bonus",H117*'Asumsi &amp; Bobot'!$C$16,0)</f>
        <v>0</v>
      </c>
    </row>
    <row r="118" spans="1:9" ht="15" customHeight="1" x14ac:dyDescent="0.35">
      <c r="A118" s="22">
        <f>'Vektor S &amp; V'!J118</f>
        <v>157</v>
      </c>
      <c r="B118" s="8" t="str">
        <f>'Vektor S &amp; V'!B118</f>
        <v>Senior Financial Analyst</v>
      </c>
      <c r="C118" s="11" t="str">
        <f>'Data Mentah'!C118</f>
        <v>Master's</v>
      </c>
      <c r="D118" s="23">
        <f>'Data Mentah'!E118</f>
        <v>6</v>
      </c>
      <c r="E118" s="24">
        <f>'Data Mentah'!F118</f>
        <v>95000</v>
      </c>
      <c r="F118" s="27">
        <f>'Vektor S &amp; V'!I118</f>
        <v>2.503324965723564E-3</v>
      </c>
      <c r="G118" s="11" t="str">
        <f>IF(F118&gt;='Asumsi &amp; Bobot'!$C$15,"Mendapat Bonus","Tidak Mendapat Bonus")</f>
        <v>Tidak Mendapat Bonus</v>
      </c>
      <c r="H118" s="27">
        <f t="shared" si="1"/>
        <v>0</v>
      </c>
      <c r="I118" s="24">
        <f>IF(G118="Mendapat Bonus",H118*'Asumsi &amp; Bobot'!$C$16,0)</f>
        <v>0</v>
      </c>
    </row>
    <row r="119" spans="1:9" ht="15" customHeight="1" x14ac:dyDescent="0.35">
      <c r="A119" s="18">
        <f>'Vektor S &amp; V'!J119</f>
        <v>140</v>
      </c>
      <c r="B119" s="17" t="str">
        <f>'Vektor S &amp; V'!B119</f>
        <v>Office Manager</v>
      </c>
      <c r="C119" s="14" t="str">
        <f>'Data Mentah'!C119</f>
        <v>Bachelor's</v>
      </c>
      <c r="D119" s="19">
        <f>'Data Mentah'!E119</f>
        <v>15</v>
      </c>
      <c r="E119" s="20">
        <f>'Data Mentah'!F119</f>
        <v>65000</v>
      </c>
      <c r="F119" s="26">
        <f>'Vektor S &amp; V'!I119</f>
        <v>2.7350879355626011E-3</v>
      </c>
      <c r="G119" s="14" t="str">
        <f>IF(F119&gt;='Asumsi &amp; Bobot'!$C$15,"Mendapat Bonus","Tidak Mendapat Bonus")</f>
        <v>Tidak Mendapat Bonus</v>
      </c>
      <c r="H119" s="26">
        <f t="shared" si="1"/>
        <v>0</v>
      </c>
      <c r="I119" s="20">
        <f>IF(G119="Mendapat Bonus",H119*'Asumsi &amp; Bobot'!$C$16,0)</f>
        <v>0</v>
      </c>
    </row>
    <row r="120" spans="1:9" ht="15" customHeight="1" x14ac:dyDescent="0.35">
      <c r="A120" s="22">
        <f>'Vektor S &amp; V'!J120</f>
        <v>42</v>
      </c>
      <c r="B120" s="8" t="str">
        <f>'Vektor S &amp; V'!B120</f>
        <v>Principal Engineer</v>
      </c>
      <c r="C120" s="11" t="str">
        <f>'Data Mentah'!C120</f>
        <v>PhD</v>
      </c>
      <c r="D120" s="23">
        <f>'Data Mentah'!E120</f>
        <v>20</v>
      </c>
      <c r="E120" s="24">
        <f>'Data Mentah'!F120</f>
        <v>170000</v>
      </c>
      <c r="F120" s="27">
        <f>'Vektor S &amp; V'!I120</f>
        <v>4.5468086446379605E-3</v>
      </c>
      <c r="G120" s="11" t="str">
        <f>IF(F120&gt;='Asumsi &amp; Bobot'!$C$15,"Mendapat Bonus","Tidak Mendapat Bonus")</f>
        <v>Mendapat Bonus</v>
      </c>
      <c r="H120" s="27">
        <f t="shared" si="1"/>
        <v>1.3757446923161299E-2</v>
      </c>
      <c r="I120" s="24">
        <f>IF(G120="Mendapat Bonus",H120*'Asumsi &amp; Bobot'!$C$16,0)</f>
        <v>687.87234615806494</v>
      </c>
    </row>
    <row r="121" spans="1:9" ht="15" customHeight="1" x14ac:dyDescent="0.35">
      <c r="A121" s="18">
        <f>'Vektor S &amp; V'!J121</f>
        <v>291</v>
      </c>
      <c r="B121" s="17" t="str">
        <f>'Vektor S &amp; V'!B121</f>
        <v>Junior HR Generalist</v>
      </c>
      <c r="C121" s="14" t="str">
        <f>'Data Mentah'!C121</f>
        <v>Bachelor's</v>
      </c>
      <c r="D121" s="19">
        <f>'Data Mentah'!E121</f>
        <v>3</v>
      </c>
      <c r="E121" s="20">
        <f>'Data Mentah'!F121</f>
        <v>45000</v>
      </c>
      <c r="F121" s="26">
        <f>'Vektor S &amp; V'!I121</f>
        <v>1.6624851112879873E-3</v>
      </c>
      <c r="G121" s="14" t="str">
        <f>IF(F121&gt;='Asumsi &amp; Bobot'!$C$15,"Mendapat Bonus","Tidak Mendapat Bonus")</f>
        <v>Tidak Mendapat Bonus</v>
      </c>
      <c r="H121" s="26">
        <f t="shared" si="1"/>
        <v>0</v>
      </c>
      <c r="I121" s="20">
        <f>IF(G121="Mendapat Bonus",H121*'Asumsi &amp; Bobot'!$C$16,0)</f>
        <v>0</v>
      </c>
    </row>
    <row r="122" spans="1:9" ht="15" customHeight="1" x14ac:dyDescent="0.35">
      <c r="A122" s="22">
        <f>'Vektor S &amp; V'!J122</f>
        <v>131</v>
      </c>
      <c r="B122" s="8" t="str">
        <f>'Vektor S &amp; V'!B122</f>
        <v>Senior Product Manager</v>
      </c>
      <c r="C122" s="11" t="str">
        <f>'Data Mentah'!C122</f>
        <v>Master's</v>
      </c>
      <c r="D122" s="23">
        <f>'Data Mentah'!E122</f>
        <v>10</v>
      </c>
      <c r="E122" s="24">
        <f>'Data Mentah'!F122</f>
        <v>120000</v>
      </c>
      <c r="F122" s="27">
        <f>'Vektor S &amp; V'!I122</f>
        <v>2.9401324554517907E-3</v>
      </c>
      <c r="G122" s="11" t="str">
        <f>IF(F122&gt;='Asumsi &amp; Bobot'!$C$15,"Mendapat Bonus","Tidak Mendapat Bonus")</f>
        <v>Tidak Mendapat Bonus</v>
      </c>
      <c r="H122" s="27">
        <f t="shared" si="1"/>
        <v>0</v>
      </c>
      <c r="I122" s="24">
        <f>IF(G122="Mendapat Bonus",H122*'Asumsi &amp; Bobot'!$C$16,0)</f>
        <v>0</v>
      </c>
    </row>
    <row r="123" spans="1:9" ht="15" customHeight="1" x14ac:dyDescent="0.35">
      <c r="A123" s="18">
        <f>'Vektor S &amp; V'!J123</f>
        <v>139</v>
      </c>
      <c r="B123" s="17" t="str">
        <f>'Vektor S &amp; V'!B123</f>
        <v>Sales Manager</v>
      </c>
      <c r="C123" s="14" t="str">
        <f>'Data Mentah'!C123</f>
        <v>Bachelor's</v>
      </c>
      <c r="D123" s="19">
        <f>'Data Mentah'!E123</f>
        <v>17</v>
      </c>
      <c r="E123" s="20">
        <f>'Data Mentah'!F123</f>
        <v>100000</v>
      </c>
      <c r="F123" s="26">
        <f>'Vektor S &amp; V'!I123</f>
        <v>2.7666361875912739E-3</v>
      </c>
      <c r="G123" s="14" t="str">
        <f>IF(F123&gt;='Asumsi &amp; Bobot'!$C$15,"Mendapat Bonus","Tidak Mendapat Bonus")</f>
        <v>Tidak Mendapat Bonus</v>
      </c>
      <c r="H123" s="26">
        <f t="shared" si="1"/>
        <v>0</v>
      </c>
      <c r="I123" s="20">
        <f>IF(G123="Mendapat Bonus",H123*'Asumsi &amp; Bobot'!$C$16,0)</f>
        <v>0</v>
      </c>
    </row>
    <row r="124" spans="1:9" ht="15" customHeight="1" x14ac:dyDescent="0.35">
      <c r="A124" s="22">
        <f>'Vektor S &amp; V'!J124</f>
        <v>56</v>
      </c>
      <c r="B124" s="8" t="str">
        <f>'Vektor S &amp; V'!B124</f>
        <v>Director of Marketing</v>
      </c>
      <c r="C124" s="11" t="str">
        <f>'Data Mentah'!C124</f>
        <v>Master's</v>
      </c>
      <c r="D124" s="23">
        <f>'Data Mentah'!E124</f>
        <v>25</v>
      </c>
      <c r="E124" s="24">
        <f>'Data Mentah'!F124</f>
        <v>180000</v>
      </c>
      <c r="F124" s="27">
        <f>'Vektor S &amp; V'!I124</f>
        <v>4.2506298458227397E-3</v>
      </c>
      <c r="G124" s="11" t="str">
        <f>IF(F124&gt;='Asumsi &amp; Bobot'!$C$15,"Mendapat Bonus","Tidak Mendapat Bonus")</f>
        <v>Mendapat Bonus</v>
      </c>
      <c r="H124" s="27">
        <f t="shared" si="1"/>
        <v>1.2861287787616566E-2</v>
      </c>
      <c r="I124" s="24">
        <f>IF(G124="Mendapat Bonus",H124*'Asumsi &amp; Bobot'!$C$16,0)</f>
        <v>643.06438938082829</v>
      </c>
    </row>
    <row r="125" spans="1:9" ht="15" customHeight="1" x14ac:dyDescent="0.35">
      <c r="A125" s="18">
        <f>'Vektor S &amp; V'!J125</f>
        <v>228</v>
      </c>
      <c r="B125" s="17" t="str">
        <f>'Vektor S &amp; V'!B125</f>
        <v>Junior Operations Analyst</v>
      </c>
      <c r="C125" s="14" t="str">
        <f>'Data Mentah'!C125</f>
        <v>Bachelor's</v>
      </c>
      <c r="D125" s="19">
        <f>'Data Mentah'!E125</f>
        <v>5</v>
      </c>
      <c r="E125" s="20">
        <f>'Data Mentah'!F125</f>
        <v>50000</v>
      </c>
      <c r="F125" s="26">
        <f>'Vektor S &amp; V'!I125</f>
        <v>1.9538992308987171E-3</v>
      </c>
      <c r="G125" s="14" t="str">
        <f>IF(F125&gt;='Asumsi &amp; Bobot'!$C$15,"Mendapat Bonus","Tidak Mendapat Bonus")</f>
        <v>Tidak Mendapat Bonus</v>
      </c>
      <c r="H125" s="26">
        <f t="shared" si="1"/>
        <v>0</v>
      </c>
      <c r="I125" s="20">
        <f>IF(G125="Mendapat Bonus",H125*'Asumsi &amp; Bobot'!$C$16,0)</f>
        <v>0</v>
      </c>
    </row>
    <row r="126" spans="1:9" ht="15" customHeight="1" x14ac:dyDescent="0.35">
      <c r="A126" s="22">
        <f>'Vektor S &amp; V'!J126</f>
        <v>222</v>
      </c>
      <c r="B126" s="8" t="str">
        <f>'Vektor S &amp; V'!B126</f>
        <v>Customer Service Manager</v>
      </c>
      <c r="C126" s="11" t="str">
        <f>'Data Mentah'!C126</f>
        <v>Bachelor's</v>
      </c>
      <c r="D126" s="23">
        <f>'Data Mentah'!E126</f>
        <v>11</v>
      </c>
      <c r="E126" s="24">
        <f>'Data Mentah'!F126</f>
        <v>80000</v>
      </c>
      <c r="F126" s="27">
        <f>'Vektor S &amp; V'!I126</f>
        <v>2.0687109739997264E-3</v>
      </c>
      <c r="G126" s="11" t="str">
        <f>IF(F126&gt;='Asumsi &amp; Bobot'!$C$15,"Mendapat Bonus","Tidak Mendapat Bonus")</f>
        <v>Tidak Mendapat Bonus</v>
      </c>
      <c r="H126" s="27">
        <f t="shared" si="1"/>
        <v>0</v>
      </c>
      <c r="I126" s="24">
        <f>IF(G126="Mendapat Bonus",H126*'Asumsi &amp; Bobot'!$C$16,0)</f>
        <v>0</v>
      </c>
    </row>
    <row r="127" spans="1:9" ht="15" customHeight="1" x14ac:dyDescent="0.35">
      <c r="A127" s="18">
        <f>'Vektor S &amp; V'!J127</f>
        <v>9</v>
      </c>
      <c r="B127" s="17" t="str">
        <f>'Vektor S &amp; V'!B127</f>
        <v>Senior Scientist</v>
      </c>
      <c r="C127" s="14" t="str">
        <f>'Data Mentah'!C127</f>
        <v>PhD</v>
      </c>
      <c r="D127" s="19">
        <f>'Data Mentah'!E127</f>
        <v>16</v>
      </c>
      <c r="E127" s="20">
        <f>'Data Mentah'!F127</f>
        <v>140000</v>
      </c>
      <c r="F127" s="26">
        <f>'Vektor S &amp; V'!I127</f>
        <v>4.9288381261216579E-3</v>
      </c>
      <c r="G127" s="14" t="str">
        <f>IF(F127&gt;='Asumsi &amp; Bobot'!$C$15,"Mendapat Bonus","Tidak Mendapat Bonus")</f>
        <v>Mendapat Bonus</v>
      </c>
      <c r="H127" s="26">
        <f t="shared" si="1"/>
        <v>1.4913367641485984E-2</v>
      </c>
      <c r="I127" s="20">
        <f>IF(G127="Mendapat Bonus",H127*'Asumsi &amp; Bobot'!$C$16,0)</f>
        <v>745.66838207429919</v>
      </c>
    </row>
    <row r="128" spans="1:9" ht="15" customHeight="1" x14ac:dyDescent="0.35">
      <c r="A128" s="22">
        <f>'Vektor S &amp; V'!J128</f>
        <v>365</v>
      </c>
      <c r="B128" s="8" t="str">
        <f>'Vektor S &amp; V'!B128</f>
        <v>Junior Accountant</v>
      </c>
      <c r="C128" s="11" t="str">
        <f>'Data Mentah'!C128</f>
        <v>Bachelor's</v>
      </c>
      <c r="D128" s="23">
        <f>'Data Mentah'!E128</f>
        <v>2</v>
      </c>
      <c r="E128" s="24">
        <f>'Data Mentah'!F128</f>
        <v>40000</v>
      </c>
      <c r="F128" s="27">
        <f>'Vektor S &amp; V'!I128</f>
        <v>1.2503830115472886E-3</v>
      </c>
      <c r="G128" s="11" t="str">
        <f>IF(F128&gt;='Asumsi &amp; Bobot'!$C$15,"Mendapat Bonus","Tidak Mendapat Bonus")</f>
        <v>Tidak Mendapat Bonus</v>
      </c>
      <c r="H128" s="27">
        <f t="shared" si="1"/>
        <v>0</v>
      </c>
      <c r="I128" s="24">
        <f>IF(G128="Mendapat Bonus",H128*'Asumsi &amp; Bobot'!$C$16,0)</f>
        <v>0</v>
      </c>
    </row>
    <row r="129" spans="1:9" ht="15" customHeight="1" x14ac:dyDescent="0.35">
      <c r="A129" s="18">
        <f>'Vektor S &amp; V'!J129</f>
        <v>111</v>
      </c>
      <c r="B129" s="17" t="str">
        <f>'Vektor S &amp; V'!B129</f>
        <v>Senior HR Generalist</v>
      </c>
      <c r="C129" s="14" t="str">
        <f>'Data Mentah'!C129</f>
        <v>Master's</v>
      </c>
      <c r="D129" s="19">
        <f>'Data Mentah'!E129</f>
        <v>9</v>
      </c>
      <c r="E129" s="20">
        <f>'Data Mentah'!F129</f>
        <v>95000</v>
      </c>
      <c r="F129" s="26">
        <f>'Vektor S &amp; V'!I129</f>
        <v>3.504680029964229E-3</v>
      </c>
      <c r="G129" s="14" t="str">
        <f>IF(F129&gt;='Asumsi &amp; Bobot'!$C$15,"Mendapat Bonus","Tidak Mendapat Bonus")</f>
        <v>Tidak Mendapat Bonus</v>
      </c>
      <c r="H129" s="26">
        <f t="shared" si="1"/>
        <v>0</v>
      </c>
      <c r="I129" s="20">
        <f>IF(G129="Mendapat Bonus",H129*'Asumsi &amp; Bobot'!$C$16,0)</f>
        <v>0</v>
      </c>
    </row>
    <row r="130" spans="1:9" ht="15" customHeight="1" x14ac:dyDescent="0.35">
      <c r="A130" s="22">
        <f>'Vektor S &amp; V'!J130</f>
        <v>167</v>
      </c>
      <c r="B130" s="8" t="str">
        <f>'Vektor S &amp; V'!B130</f>
        <v>Sales Operations Manager</v>
      </c>
      <c r="C130" s="11" t="str">
        <f>'Data Mentah'!C130</f>
        <v>Bachelor's</v>
      </c>
      <c r="D130" s="23">
        <f>'Data Mentah'!E130</f>
        <v>18</v>
      </c>
      <c r="E130" s="24">
        <f>'Data Mentah'!F130</f>
        <v>110000</v>
      </c>
      <c r="F130" s="27">
        <f>'Vektor S &amp; V'!I130</f>
        <v>2.4490501081521122E-3</v>
      </c>
      <c r="G130" s="11" t="str">
        <f>IF(F130&gt;='Asumsi &amp; Bobot'!$C$15,"Mendapat Bonus","Tidak Mendapat Bonus")</f>
        <v>Tidak Mendapat Bonus</v>
      </c>
      <c r="H130" s="27">
        <f t="shared" si="1"/>
        <v>0</v>
      </c>
      <c r="I130" s="24">
        <f>IF(G130="Mendapat Bonus",H130*'Asumsi &amp; Bobot'!$C$16,0)</f>
        <v>0</v>
      </c>
    </row>
    <row r="131" spans="1:9" ht="15" customHeight="1" x14ac:dyDescent="0.35">
      <c r="A131" s="18">
        <f>'Vektor S &amp; V'!J131</f>
        <v>251</v>
      </c>
      <c r="B131" s="17" t="str">
        <f>'Vektor S &amp; V'!B131</f>
        <v>Marketing Coordinator</v>
      </c>
      <c r="C131" s="14" t="str">
        <f>'Data Mentah'!C131</f>
        <v>Bachelor's</v>
      </c>
      <c r="D131" s="19">
        <f>'Data Mentah'!E131</f>
        <v>4</v>
      </c>
      <c r="E131" s="20">
        <f>'Data Mentah'!F131</f>
        <v>50000</v>
      </c>
      <c r="F131" s="26">
        <f>'Vektor S &amp; V'!I131</f>
        <v>1.8374171831512796E-3</v>
      </c>
      <c r="G131" s="14" t="str">
        <f>IF(F131&gt;='Asumsi &amp; Bobot'!$C$15,"Mendapat Bonus","Tidak Mendapat Bonus")</f>
        <v>Tidak Mendapat Bonus</v>
      </c>
      <c r="H131" s="26">
        <f t="shared" ref="H131:H194" si="2">IF(G131="Mendapat Bonus",F131/(SUMIF($G$3:$G$375,"Mendapat Bonus",$F$3:$F$375)),0)</f>
        <v>0</v>
      </c>
      <c r="I131" s="20">
        <f>IF(G131="Mendapat Bonus",H131*'Asumsi &amp; Bobot'!$C$16,0)</f>
        <v>0</v>
      </c>
    </row>
    <row r="132" spans="1:9" ht="15" customHeight="1" x14ac:dyDescent="0.35">
      <c r="A132" s="22">
        <f>'Vektor S &amp; V'!J132</f>
        <v>138</v>
      </c>
      <c r="B132" s="8" t="str">
        <f>'Vektor S &amp; V'!B132</f>
        <v>Senior Software Developer</v>
      </c>
      <c r="C132" s="11" t="str">
        <f>'Data Mentah'!C132</f>
        <v>Master's</v>
      </c>
      <c r="D132" s="23">
        <f>'Data Mentah'!E132</f>
        <v>8</v>
      </c>
      <c r="E132" s="24">
        <f>'Data Mentah'!F132</f>
        <v>105000</v>
      </c>
      <c r="F132" s="27">
        <f>'Vektor S &amp; V'!I132</f>
        <v>2.7802386723202611E-3</v>
      </c>
      <c r="G132" s="11" t="str">
        <f>IF(F132&gt;='Asumsi &amp; Bobot'!$C$15,"Mendapat Bonus","Tidak Mendapat Bonus")</f>
        <v>Tidak Mendapat Bonus</v>
      </c>
      <c r="H132" s="27">
        <f t="shared" si="2"/>
        <v>0</v>
      </c>
      <c r="I132" s="24">
        <f>IF(G132="Mendapat Bonus",H132*'Asumsi &amp; Bobot'!$C$16,0)</f>
        <v>0</v>
      </c>
    </row>
    <row r="133" spans="1:9" ht="15" customHeight="1" x14ac:dyDescent="0.35">
      <c r="A133" s="18">
        <f>'Vektor S &amp; V'!J133</f>
        <v>29</v>
      </c>
      <c r="B133" s="17" t="str">
        <f>'Vektor S &amp; V'!B133</f>
        <v>Director of Operations</v>
      </c>
      <c r="C133" s="14" t="str">
        <f>'Data Mentah'!C133</f>
        <v>Master's</v>
      </c>
      <c r="D133" s="19">
        <f>'Data Mentah'!E133</f>
        <v>21</v>
      </c>
      <c r="E133" s="20">
        <f>'Data Mentah'!F133</f>
        <v>160000</v>
      </c>
      <c r="F133" s="26">
        <f>'Vektor S &amp; V'!I133</f>
        <v>4.6804941541324927E-3</v>
      </c>
      <c r="G133" s="14" t="str">
        <f>IF(F133&gt;='Asumsi &amp; Bobot'!$C$15,"Mendapat Bonus","Tidak Mendapat Bonus")</f>
        <v>Mendapat Bonus</v>
      </c>
      <c r="H133" s="26">
        <f t="shared" si="2"/>
        <v>1.4161944108992009E-2</v>
      </c>
      <c r="I133" s="20">
        <f>IF(G133="Mendapat Bonus",H133*'Asumsi &amp; Bobot'!$C$16,0)</f>
        <v>708.09720544960044</v>
      </c>
    </row>
    <row r="134" spans="1:9" ht="15" customHeight="1" x14ac:dyDescent="0.35">
      <c r="A134" s="22">
        <f>'Vektor S &amp; V'!J134</f>
        <v>339</v>
      </c>
      <c r="B134" s="8" t="str">
        <f>'Vektor S &amp; V'!B134</f>
        <v>Junior Web Designer</v>
      </c>
      <c r="C134" s="11" t="str">
        <f>'Data Mentah'!C134</f>
        <v>Bachelor's</v>
      </c>
      <c r="D134" s="23">
        <f>'Data Mentah'!E134</f>
        <v>3</v>
      </c>
      <c r="E134" s="24">
        <f>'Data Mentah'!F134</f>
        <v>45000</v>
      </c>
      <c r="F134" s="27">
        <f>'Vektor S &amp; V'!I134</f>
        <v>1.4259066614201329E-3</v>
      </c>
      <c r="G134" s="11" t="str">
        <f>IF(F134&gt;='Asumsi &amp; Bobot'!$C$15,"Mendapat Bonus","Tidak Mendapat Bonus")</f>
        <v>Tidak Mendapat Bonus</v>
      </c>
      <c r="H134" s="27">
        <f t="shared" si="2"/>
        <v>0</v>
      </c>
      <c r="I134" s="24">
        <f>IF(G134="Mendapat Bonus",H134*'Asumsi &amp; Bobot'!$C$16,0)</f>
        <v>0</v>
      </c>
    </row>
    <row r="135" spans="1:9" ht="15" customHeight="1" x14ac:dyDescent="0.35">
      <c r="A135" s="18">
        <f>'Vektor S &amp; V'!J135</f>
        <v>83</v>
      </c>
      <c r="B135" s="17" t="str">
        <f>'Vektor S &amp; V'!B135</f>
        <v>Senior Training Specialist</v>
      </c>
      <c r="C135" s="14" t="str">
        <f>'Data Mentah'!C135</f>
        <v>Master's</v>
      </c>
      <c r="D135" s="19">
        <f>'Data Mentah'!E135</f>
        <v>12</v>
      </c>
      <c r="E135" s="20">
        <f>'Data Mentah'!F135</f>
        <v>100000</v>
      </c>
      <c r="F135" s="26">
        <f>'Vektor S &amp; V'!I135</f>
        <v>3.8818938584753238E-3</v>
      </c>
      <c r="G135" s="14" t="str">
        <f>IF(F135&gt;='Asumsi &amp; Bobot'!$C$15,"Mendapat Bonus","Tidak Mendapat Bonus")</f>
        <v>Tidak Mendapat Bonus</v>
      </c>
      <c r="H135" s="26">
        <f t="shared" si="2"/>
        <v>0</v>
      </c>
      <c r="I135" s="20">
        <f>IF(G135="Mendapat Bonus",H135*'Asumsi &amp; Bobot'!$C$16,0)</f>
        <v>0</v>
      </c>
    </row>
    <row r="136" spans="1:9" ht="15" customHeight="1" x14ac:dyDescent="0.35">
      <c r="A136" s="22">
        <f>'Vektor S &amp; V'!J136</f>
        <v>30</v>
      </c>
      <c r="B136" s="8" t="str">
        <f>'Vektor S &amp; V'!B136</f>
        <v>Senior Research Scientist</v>
      </c>
      <c r="C136" s="11" t="str">
        <f>'Data Mentah'!C136</f>
        <v>PhD</v>
      </c>
      <c r="D136" s="23">
        <f>'Data Mentah'!E136</f>
        <v>22</v>
      </c>
      <c r="E136" s="24">
        <f>'Data Mentah'!F136</f>
        <v>160000</v>
      </c>
      <c r="F136" s="27">
        <f>'Vektor S &amp; V'!I136</f>
        <v>4.6749809466188653E-3</v>
      </c>
      <c r="G136" s="11" t="str">
        <f>IF(F136&gt;='Asumsi &amp; Bobot'!$C$15,"Mendapat Bonus","Tidak Mendapat Bonus")</f>
        <v>Mendapat Bonus</v>
      </c>
      <c r="H136" s="27">
        <f t="shared" si="2"/>
        <v>1.4145262593301977E-2</v>
      </c>
      <c r="I136" s="24">
        <f>IF(G136="Mendapat Bonus",H136*'Asumsi &amp; Bobot'!$C$16,0)</f>
        <v>707.26312966509886</v>
      </c>
    </row>
    <row r="137" spans="1:9" ht="15" customHeight="1" x14ac:dyDescent="0.35">
      <c r="A137" s="18">
        <f>'Vektor S &amp; V'!J137</f>
        <v>366</v>
      </c>
      <c r="B137" s="17" t="str">
        <f>'Vektor S &amp; V'!B137</f>
        <v>Junior Sales Representative</v>
      </c>
      <c r="C137" s="14" t="str">
        <f>'Data Mentah'!C137</f>
        <v>Bachelor's</v>
      </c>
      <c r="D137" s="19">
        <f>'Data Mentah'!E137</f>
        <v>1</v>
      </c>
      <c r="E137" s="20">
        <f>'Data Mentah'!F137</f>
        <v>35000</v>
      </c>
      <c r="F137" s="26">
        <f>'Vektor S &amp; V'!I137</f>
        <v>1.2029414975264626E-3</v>
      </c>
      <c r="G137" s="14" t="str">
        <f>IF(F137&gt;='Asumsi &amp; Bobot'!$C$15,"Mendapat Bonus","Tidak Mendapat Bonus")</f>
        <v>Tidak Mendapat Bonus</v>
      </c>
      <c r="H137" s="26">
        <f t="shared" si="2"/>
        <v>0</v>
      </c>
      <c r="I137" s="20">
        <f>IF(G137="Mendapat Bonus",H137*'Asumsi &amp; Bobot'!$C$16,0)</f>
        <v>0</v>
      </c>
    </row>
    <row r="138" spans="1:9" ht="15" customHeight="1" x14ac:dyDescent="0.35">
      <c r="A138" s="22">
        <f>'Vektor S &amp; V'!J138</f>
        <v>163</v>
      </c>
      <c r="B138" s="8" t="str">
        <f>'Vektor S &amp; V'!B138</f>
        <v>Administrative Assistant</v>
      </c>
      <c r="C138" s="11" t="str">
        <f>'Data Mentah'!C138</f>
        <v>Bachelor's</v>
      </c>
      <c r="D138" s="23">
        <f>'Data Mentah'!E138</f>
        <v>10</v>
      </c>
      <c r="E138" s="24">
        <f>'Data Mentah'!F138</f>
        <v>55000</v>
      </c>
      <c r="F138" s="27">
        <f>'Vektor S &amp; V'!I138</f>
        <v>2.4627312687337138E-3</v>
      </c>
      <c r="G138" s="11" t="str">
        <f>IF(F138&gt;='Asumsi &amp; Bobot'!$C$15,"Mendapat Bonus","Tidak Mendapat Bonus")</f>
        <v>Tidak Mendapat Bonus</v>
      </c>
      <c r="H138" s="27">
        <f t="shared" si="2"/>
        <v>0</v>
      </c>
      <c r="I138" s="24">
        <f>IF(G138="Mendapat Bonus",H138*'Asumsi &amp; Bobot'!$C$16,0)</f>
        <v>0</v>
      </c>
    </row>
    <row r="139" spans="1:9" ht="15" customHeight="1" x14ac:dyDescent="0.35">
      <c r="A139" s="18">
        <f>'Vektor S &amp; V'!J139</f>
        <v>87</v>
      </c>
      <c r="B139" s="17" t="str">
        <f>'Vektor S &amp; V'!B139</f>
        <v>Senior Project Manager</v>
      </c>
      <c r="C139" s="14" t="str">
        <f>'Data Mentah'!C139</f>
        <v>Master's</v>
      </c>
      <c r="D139" s="19">
        <f>'Data Mentah'!E139</f>
        <v>19</v>
      </c>
      <c r="E139" s="20">
        <f>'Data Mentah'!F139</f>
        <v>140000</v>
      </c>
      <c r="F139" s="26">
        <f>'Vektor S &amp; V'!I139</f>
        <v>3.847322339243293E-3</v>
      </c>
      <c r="G139" s="14" t="str">
        <f>IF(F139&gt;='Asumsi &amp; Bobot'!$C$15,"Mendapat Bonus","Tidak Mendapat Bonus")</f>
        <v>Tidak Mendapat Bonus</v>
      </c>
      <c r="H139" s="26">
        <f t="shared" si="2"/>
        <v>0</v>
      </c>
      <c r="I139" s="20">
        <f>IF(G139="Mendapat Bonus",H139*'Asumsi &amp; Bobot'!$C$16,0)</f>
        <v>0</v>
      </c>
    </row>
    <row r="140" spans="1:9" ht="15" customHeight="1" x14ac:dyDescent="0.35">
      <c r="A140" s="22">
        <f>'Vektor S &amp; V'!J140</f>
        <v>266</v>
      </c>
      <c r="B140" s="8" t="str">
        <f>'Vektor S &amp; V'!B140</f>
        <v>Junior Marketing Manager</v>
      </c>
      <c r="C140" s="11" t="str">
        <f>'Data Mentah'!C140</f>
        <v>Bachelor's</v>
      </c>
      <c r="D140" s="23">
        <f>'Data Mentah'!E140</f>
        <v>4</v>
      </c>
      <c r="E140" s="24">
        <f>'Data Mentah'!F140</f>
        <v>50000</v>
      </c>
      <c r="F140" s="27">
        <f>'Vektor S &amp; V'!I140</f>
        <v>1.773535016031615E-3</v>
      </c>
      <c r="G140" s="11" t="str">
        <f>IF(F140&gt;='Asumsi &amp; Bobot'!$C$15,"Mendapat Bonus","Tidak Mendapat Bonus")</f>
        <v>Tidak Mendapat Bonus</v>
      </c>
      <c r="H140" s="27">
        <f t="shared" si="2"/>
        <v>0</v>
      </c>
      <c r="I140" s="24">
        <f>IF(G140="Mendapat Bonus",H140*'Asumsi &amp; Bobot'!$C$16,0)</f>
        <v>0</v>
      </c>
    </row>
    <row r="141" spans="1:9" ht="15" customHeight="1" x14ac:dyDescent="0.35">
      <c r="A141" s="18">
        <f>'Vektor S &amp; V'!J141</f>
        <v>247</v>
      </c>
      <c r="B141" s="17" t="str">
        <f>'Vektor S &amp; V'!B141</f>
        <v>Junior Data Analyst</v>
      </c>
      <c r="C141" s="14" t="str">
        <f>'Data Mentah'!C141</f>
        <v>Bachelor's</v>
      </c>
      <c r="D141" s="19">
        <f>'Data Mentah'!E141</f>
        <v>7</v>
      </c>
      <c r="E141" s="20">
        <f>'Data Mentah'!F141</f>
        <v>60000</v>
      </c>
      <c r="F141" s="26">
        <f>'Vektor S &amp; V'!I141</f>
        <v>1.8533349238506417E-3</v>
      </c>
      <c r="G141" s="14" t="str">
        <f>IF(F141&gt;='Asumsi &amp; Bobot'!$C$15,"Mendapat Bonus","Tidak Mendapat Bonus")</f>
        <v>Tidak Mendapat Bonus</v>
      </c>
      <c r="H141" s="26">
        <f t="shared" si="2"/>
        <v>0</v>
      </c>
      <c r="I141" s="20">
        <f>IF(G141="Mendapat Bonus",H141*'Asumsi &amp; Bobot'!$C$16,0)</f>
        <v>0</v>
      </c>
    </row>
    <row r="142" spans="1:9" ht="15" customHeight="1" x14ac:dyDescent="0.35">
      <c r="A142" s="22">
        <f>'Vektor S &amp; V'!J142</f>
        <v>68</v>
      </c>
      <c r="B142" s="8" t="str">
        <f>'Vektor S &amp; V'!B142</f>
        <v>Senior Product Marketing Manager</v>
      </c>
      <c r="C142" s="11" t="str">
        <f>'Data Mentah'!C142</f>
        <v>Master's</v>
      </c>
      <c r="D142" s="23">
        <f>'Data Mentah'!E142</f>
        <v>14</v>
      </c>
      <c r="E142" s="24">
        <f>'Data Mentah'!F142</f>
        <v>120000</v>
      </c>
      <c r="F142" s="27">
        <f>'Vektor S &amp; V'!I142</f>
        <v>4.0825167334270548E-3</v>
      </c>
      <c r="G142" s="11" t="str">
        <f>IF(F142&gt;='Asumsi &amp; Bobot'!$C$15,"Mendapat Bonus","Tidak Mendapat Bonus")</f>
        <v>Mendapat Bonus</v>
      </c>
      <c r="H142" s="27">
        <f t="shared" si="2"/>
        <v>1.2352621731568975E-2</v>
      </c>
      <c r="I142" s="24">
        <f>IF(G142="Mendapat Bonus",H142*'Asumsi &amp; Bobot'!$C$16,0)</f>
        <v>617.63108657844873</v>
      </c>
    </row>
    <row r="143" spans="1:9" ht="15" customHeight="1" x14ac:dyDescent="0.35">
      <c r="A143" s="18">
        <f>'Vektor S &amp; V'!J143</f>
        <v>347</v>
      </c>
      <c r="B143" s="17" t="str">
        <f>'Vektor S &amp; V'!B143</f>
        <v>Junior Business Analyst</v>
      </c>
      <c r="C143" s="14" t="str">
        <f>'Data Mentah'!C143</f>
        <v>Bachelor's</v>
      </c>
      <c r="D143" s="19">
        <f>'Data Mentah'!E143</f>
        <v>2</v>
      </c>
      <c r="E143" s="20">
        <f>'Data Mentah'!F143</f>
        <v>40000</v>
      </c>
      <c r="F143" s="26">
        <f>'Vektor S &amp; V'!I143</f>
        <v>1.3209316495539497E-3</v>
      </c>
      <c r="G143" s="14" t="str">
        <f>IF(F143&gt;='Asumsi &amp; Bobot'!$C$15,"Mendapat Bonus","Tidak Mendapat Bonus")</f>
        <v>Tidak Mendapat Bonus</v>
      </c>
      <c r="H143" s="26">
        <f t="shared" si="2"/>
        <v>0</v>
      </c>
      <c r="I143" s="20">
        <f>IF(G143="Mendapat Bonus",H143*'Asumsi &amp; Bobot'!$C$16,0)</f>
        <v>0</v>
      </c>
    </row>
    <row r="144" spans="1:9" ht="15" customHeight="1" x14ac:dyDescent="0.35">
      <c r="A144" s="22">
        <f>'Vektor S &amp; V'!J144</f>
        <v>74</v>
      </c>
      <c r="B144" s="8" t="str">
        <f>'Vektor S &amp; V'!B144</f>
        <v>Senior Marketing Manager</v>
      </c>
      <c r="C144" s="11" t="str">
        <f>'Data Mentah'!C144</f>
        <v>Master's</v>
      </c>
      <c r="D144" s="23">
        <f>'Data Mentah'!E144</f>
        <v>13</v>
      </c>
      <c r="E144" s="24">
        <f>'Data Mentah'!F144</f>
        <v>110000</v>
      </c>
      <c r="F144" s="27">
        <f>'Vektor S &amp; V'!I144</f>
        <v>3.9656700477404567E-3</v>
      </c>
      <c r="G144" s="11" t="str">
        <f>IF(F144&gt;='Asumsi &amp; Bobot'!$C$15,"Mendapat Bonus","Tidak Mendapat Bonus")</f>
        <v>Tidak Mendapat Bonus</v>
      </c>
      <c r="H144" s="27">
        <f t="shared" si="2"/>
        <v>0</v>
      </c>
      <c r="I144" s="24">
        <f>IF(G144="Mendapat Bonus",H144*'Asumsi &amp; Bobot'!$C$16,0)</f>
        <v>0</v>
      </c>
    </row>
    <row r="145" spans="1:9" ht="15" customHeight="1" x14ac:dyDescent="0.35">
      <c r="A145" s="18">
        <f>'Vektor S &amp; V'!J145</f>
        <v>288</v>
      </c>
      <c r="B145" s="17" t="str">
        <f>'Vektor S &amp; V'!B145</f>
        <v>Junior Software Developer</v>
      </c>
      <c r="C145" s="14" t="str">
        <f>'Data Mentah'!C145</f>
        <v>Bachelor's</v>
      </c>
      <c r="D145" s="19">
        <f>'Data Mentah'!E145</f>
        <v>5</v>
      </c>
      <c r="E145" s="20">
        <f>'Data Mentah'!F145</f>
        <v>50000</v>
      </c>
      <c r="F145" s="26">
        <f>'Vektor S &amp; V'!I145</f>
        <v>1.675851356601732E-3</v>
      </c>
      <c r="G145" s="14" t="str">
        <f>IF(F145&gt;='Asumsi &amp; Bobot'!$C$15,"Mendapat Bonus","Tidak Mendapat Bonus")</f>
        <v>Tidak Mendapat Bonus</v>
      </c>
      <c r="H145" s="26">
        <f t="shared" si="2"/>
        <v>0</v>
      </c>
      <c r="I145" s="20">
        <f>IF(G145="Mendapat Bonus",H145*'Asumsi &amp; Bobot'!$C$16,0)</f>
        <v>0</v>
      </c>
    </row>
    <row r="146" spans="1:9" ht="15" customHeight="1" x14ac:dyDescent="0.35">
      <c r="A146" s="22">
        <f>'Vektor S &amp; V'!J146</f>
        <v>156</v>
      </c>
      <c r="B146" s="8" t="str">
        <f>'Vektor S &amp; V'!B146</f>
        <v>Senior Sales Manager</v>
      </c>
      <c r="C146" s="11" t="str">
        <f>'Data Mentah'!C146</f>
        <v>Bachelor's</v>
      </c>
      <c r="D146" s="23">
        <f>'Data Mentah'!E146</f>
        <v>20</v>
      </c>
      <c r="E146" s="24">
        <f>'Data Mentah'!F146</f>
        <v>135000</v>
      </c>
      <c r="F146" s="27">
        <f>'Vektor S &amp; V'!I146</f>
        <v>2.5073859114539778E-3</v>
      </c>
      <c r="G146" s="11" t="str">
        <f>IF(F146&gt;='Asumsi &amp; Bobot'!$C$15,"Mendapat Bonus","Tidak Mendapat Bonus")</f>
        <v>Tidak Mendapat Bonus</v>
      </c>
      <c r="H146" s="27">
        <f t="shared" si="2"/>
        <v>0</v>
      </c>
      <c r="I146" s="24">
        <f>IF(G146="Mendapat Bonus",H146*'Asumsi &amp; Bobot'!$C$16,0)</f>
        <v>0</v>
      </c>
    </row>
    <row r="147" spans="1:9" ht="15" customHeight="1" x14ac:dyDescent="0.35">
      <c r="A147" s="18">
        <f>'Vektor S &amp; V'!J147</f>
        <v>207</v>
      </c>
      <c r="B147" s="17" t="str">
        <f>'Vektor S &amp; V'!B147</f>
        <v>Junior Marketing Specialist</v>
      </c>
      <c r="C147" s="14" t="str">
        <f>'Data Mentah'!C147</f>
        <v>Master's</v>
      </c>
      <c r="D147" s="19">
        <f>'Data Mentah'!E147</f>
        <v>1.5</v>
      </c>
      <c r="E147" s="20">
        <f>'Data Mentah'!F147</f>
        <v>40000</v>
      </c>
      <c r="F147" s="26">
        <f>'Vektor S &amp; V'!I147</f>
        <v>2.1389985129590728E-3</v>
      </c>
      <c r="G147" s="14" t="str">
        <f>IF(F147&gt;='Asumsi &amp; Bobot'!$C$15,"Mendapat Bonus","Tidak Mendapat Bonus")</f>
        <v>Tidak Mendapat Bonus</v>
      </c>
      <c r="H147" s="26">
        <f t="shared" si="2"/>
        <v>0</v>
      </c>
      <c r="I147" s="20">
        <f>IF(G147="Mendapat Bonus",H147*'Asumsi &amp; Bobot'!$C$16,0)</f>
        <v>0</v>
      </c>
    </row>
    <row r="148" spans="1:9" ht="15" customHeight="1" x14ac:dyDescent="0.35">
      <c r="A148" s="22">
        <f>'Vektor S &amp; V'!J148</f>
        <v>262</v>
      </c>
      <c r="B148" s="8" t="str">
        <f>'Vektor S &amp; V'!B148</f>
        <v>Senior Business Analyst</v>
      </c>
      <c r="C148" s="11" t="str">
        <f>'Data Mentah'!C148</f>
        <v>Bachelor's</v>
      </c>
      <c r="D148" s="23">
        <f>'Data Mentah'!E148</f>
        <v>8</v>
      </c>
      <c r="E148" s="24">
        <f>'Data Mentah'!F148</f>
        <v>90000</v>
      </c>
      <c r="F148" s="27">
        <f>'Vektor S &amp; V'!I148</f>
        <v>1.7931445564370015E-3</v>
      </c>
      <c r="G148" s="11" t="str">
        <f>IF(F148&gt;='Asumsi &amp; Bobot'!$C$15,"Mendapat Bonus","Tidak Mendapat Bonus")</f>
        <v>Tidak Mendapat Bonus</v>
      </c>
      <c r="H148" s="27">
        <f t="shared" si="2"/>
        <v>0</v>
      </c>
      <c r="I148" s="24">
        <f>IF(G148="Mendapat Bonus",H148*'Asumsi &amp; Bobot'!$C$16,0)</f>
        <v>0</v>
      </c>
    </row>
    <row r="149" spans="1:9" ht="15" customHeight="1" x14ac:dyDescent="0.35">
      <c r="A149" s="18">
        <f>'Vektor S &amp; V'!J149</f>
        <v>19</v>
      </c>
      <c r="B149" s="17" t="str">
        <f>'Vektor S &amp; V'!B149</f>
        <v>Senior Data Scientist</v>
      </c>
      <c r="C149" s="14" t="str">
        <f>'Data Mentah'!C149</f>
        <v>PhD</v>
      </c>
      <c r="D149" s="19">
        <f>'Data Mentah'!E149</f>
        <v>16</v>
      </c>
      <c r="E149" s="20">
        <f>'Data Mentah'!F149</f>
        <v>150000</v>
      </c>
      <c r="F149" s="26">
        <f>'Vektor S &amp; V'!I149</f>
        <v>4.8076735671238246E-3</v>
      </c>
      <c r="G149" s="14" t="str">
        <f>IF(F149&gt;='Asumsi &amp; Bobot'!$C$15,"Mendapat Bonus","Tidak Mendapat Bonus")</f>
        <v>Mendapat Bonus</v>
      </c>
      <c r="H149" s="26">
        <f t="shared" si="2"/>
        <v>1.4546755558229143E-2</v>
      </c>
      <c r="I149" s="20">
        <f>IF(G149="Mendapat Bonus",H149*'Asumsi &amp; Bobot'!$C$16,0)</f>
        <v>727.33777791145712</v>
      </c>
    </row>
    <row r="150" spans="1:9" ht="15" customHeight="1" x14ac:dyDescent="0.35">
      <c r="A150" s="22">
        <f>'Vektor S &amp; V'!J150</f>
        <v>325</v>
      </c>
      <c r="B150" s="8" t="str">
        <f>'Vektor S &amp; V'!B150</f>
        <v>Junior Project Manager</v>
      </c>
      <c r="C150" s="11" t="str">
        <f>'Data Mentah'!C150</f>
        <v>Bachelor's</v>
      </c>
      <c r="D150" s="23">
        <f>'Data Mentah'!E150</f>
        <v>4</v>
      </c>
      <c r="E150" s="24">
        <f>'Data Mentah'!F150</f>
        <v>60000</v>
      </c>
      <c r="F150" s="27">
        <f>'Vektor S &amp; V'!I150</f>
        <v>1.5246126934875979E-3</v>
      </c>
      <c r="G150" s="11" t="str">
        <f>IF(F150&gt;='Asumsi &amp; Bobot'!$C$15,"Mendapat Bonus","Tidak Mendapat Bonus")</f>
        <v>Tidak Mendapat Bonus</v>
      </c>
      <c r="H150" s="27">
        <f t="shared" si="2"/>
        <v>0</v>
      </c>
      <c r="I150" s="24">
        <f>IF(G150="Mendapat Bonus",H150*'Asumsi &amp; Bobot'!$C$16,0)</f>
        <v>0</v>
      </c>
    </row>
    <row r="151" spans="1:9" ht="15" customHeight="1" x14ac:dyDescent="0.35">
      <c r="A151" s="18">
        <f>'Vektor S &amp; V'!J151</f>
        <v>175</v>
      </c>
      <c r="B151" s="17" t="str">
        <f>'Vektor S &amp; V'!B151</f>
        <v>Senior Accountant</v>
      </c>
      <c r="C151" s="14" t="str">
        <f>'Data Mentah'!C151</f>
        <v>Bachelor's</v>
      </c>
      <c r="D151" s="19">
        <f>'Data Mentah'!E151</f>
        <v>10</v>
      </c>
      <c r="E151" s="20">
        <f>'Data Mentah'!F151</f>
        <v>80000</v>
      </c>
      <c r="F151" s="26">
        <f>'Vektor S &amp; V'!I151</f>
        <v>2.3521149196052151E-3</v>
      </c>
      <c r="G151" s="14" t="str">
        <f>IF(F151&gt;='Asumsi &amp; Bobot'!$C$15,"Mendapat Bonus","Tidak Mendapat Bonus")</f>
        <v>Tidak Mendapat Bonus</v>
      </c>
      <c r="H151" s="26">
        <f t="shared" si="2"/>
        <v>0</v>
      </c>
      <c r="I151" s="20">
        <f>IF(G151="Mendapat Bonus",H151*'Asumsi &amp; Bobot'!$C$16,0)</f>
        <v>0</v>
      </c>
    </row>
    <row r="152" spans="1:9" ht="15" customHeight="1" x14ac:dyDescent="0.35">
      <c r="A152" s="22">
        <f>'Vektor S &amp; V'!J152</f>
        <v>97</v>
      </c>
      <c r="B152" s="8" t="str">
        <f>'Vektor S &amp; V'!B152</f>
        <v>Director of Sales</v>
      </c>
      <c r="C152" s="11" t="str">
        <f>'Data Mentah'!C152</f>
        <v>Master's</v>
      </c>
      <c r="D152" s="23">
        <f>'Data Mentah'!E152</f>
        <v>19</v>
      </c>
      <c r="E152" s="24">
        <f>'Data Mentah'!F152</f>
        <v>175000</v>
      </c>
      <c r="F152" s="27">
        <f>'Vektor S &amp; V'!I152</f>
        <v>3.7222128362094792E-3</v>
      </c>
      <c r="G152" s="11" t="str">
        <f>IF(F152&gt;='Asumsi &amp; Bobot'!$C$15,"Mendapat Bonus","Tidak Mendapat Bonus")</f>
        <v>Tidak Mendapat Bonus</v>
      </c>
      <c r="H152" s="27">
        <f t="shared" si="2"/>
        <v>0</v>
      </c>
      <c r="I152" s="24">
        <f>IF(G152="Mendapat Bonus",H152*'Asumsi &amp; Bobot'!$C$16,0)</f>
        <v>0</v>
      </c>
    </row>
    <row r="153" spans="1:9" ht="15" customHeight="1" x14ac:dyDescent="0.35">
      <c r="A153" s="18">
        <f>'Vektor S &amp; V'!J153</f>
        <v>291</v>
      </c>
      <c r="B153" s="17" t="str">
        <f>'Vektor S &amp; V'!B153</f>
        <v>Junior Recruiter</v>
      </c>
      <c r="C153" s="14" t="str">
        <f>'Data Mentah'!C153</f>
        <v>Bachelor's</v>
      </c>
      <c r="D153" s="19">
        <f>'Data Mentah'!E153</f>
        <v>3</v>
      </c>
      <c r="E153" s="20">
        <f>'Data Mentah'!F153</f>
        <v>45000</v>
      </c>
      <c r="F153" s="26">
        <f>'Vektor S &amp; V'!I153</f>
        <v>1.6624851112879873E-3</v>
      </c>
      <c r="G153" s="14" t="str">
        <f>IF(F153&gt;='Asumsi &amp; Bobot'!$C$15,"Mendapat Bonus","Tidak Mendapat Bonus")</f>
        <v>Tidak Mendapat Bonus</v>
      </c>
      <c r="H153" s="26">
        <f t="shared" si="2"/>
        <v>0</v>
      </c>
      <c r="I153" s="20">
        <f>IF(G153="Mendapat Bonus",H153*'Asumsi &amp; Bobot'!$C$16,0)</f>
        <v>0</v>
      </c>
    </row>
    <row r="154" spans="1:9" ht="15" customHeight="1" x14ac:dyDescent="0.35">
      <c r="A154" s="22">
        <f>'Vektor S &amp; V'!J154</f>
        <v>121</v>
      </c>
      <c r="B154" s="8" t="str">
        <f>'Vektor S &amp; V'!B154</f>
        <v>Senior Business Development Manager</v>
      </c>
      <c r="C154" s="11" t="str">
        <f>'Data Mentah'!C154</f>
        <v>Master's</v>
      </c>
      <c r="D154" s="23">
        <f>'Data Mentah'!E154</f>
        <v>11</v>
      </c>
      <c r="E154" s="24">
        <f>'Data Mentah'!F154</f>
        <v>120000</v>
      </c>
      <c r="F154" s="27">
        <f>'Vektor S &amp; V'!I154</f>
        <v>3.0532509023769956E-3</v>
      </c>
      <c r="G154" s="11" t="str">
        <f>IF(F154&gt;='Asumsi &amp; Bobot'!$C$15,"Mendapat Bonus","Tidak Mendapat Bonus")</f>
        <v>Tidak Mendapat Bonus</v>
      </c>
      <c r="H154" s="27">
        <f t="shared" si="2"/>
        <v>0</v>
      </c>
      <c r="I154" s="24">
        <f>IF(G154="Mendapat Bonus",H154*'Asumsi &amp; Bobot'!$C$16,0)</f>
        <v>0</v>
      </c>
    </row>
    <row r="155" spans="1:9" ht="15" customHeight="1" x14ac:dyDescent="0.35">
      <c r="A155" s="18">
        <f>'Vektor S &amp; V'!J155</f>
        <v>5</v>
      </c>
      <c r="B155" s="17" t="str">
        <f>'Vektor S &amp; V'!B155</f>
        <v>Senior Product Designer</v>
      </c>
      <c r="C155" s="14" t="str">
        <f>'Data Mentah'!C155</f>
        <v>PhD</v>
      </c>
      <c r="D155" s="19">
        <f>'Data Mentah'!E155</f>
        <v>18</v>
      </c>
      <c r="E155" s="20">
        <f>'Data Mentah'!F155</f>
        <v>140000</v>
      </c>
      <c r="F155" s="26">
        <f>'Vektor S &amp; V'!I155</f>
        <v>5.055349958386102E-3</v>
      </c>
      <c r="G155" s="14" t="str">
        <f>IF(F155&gt;='Asumsi &amp; Bobot'!$C$15,"Mendapat Bonus","Tidak Mendapat Bonus")</f>
        <v>Mendapat Bonus</v>
      </c>
      <c r="H155" s="26">
        <f t="shared" si="2"/>
        <v>1.5296159167050297E-2</v>
      </c>
      <c r="I155" s="20">
        <f>IF(G155="Mendapat Bonus",H155*'Asumsi &amp; Bobot'!$C$16,0)</f>
        <v>764.8079583525149</v>
      </c>
    </row>
    <row r="156" spans="1:9" ht="15" customHeight="1" x14ac:dyDescent="0.35">
      <c r="A156" s="22">
        <f>'Vektor S &amp; V'!J156</f>
        <v>363</v>
      </c>
      <c r="B156" s="8" t="str">
        <f>'Vektor S &amp; V'!B156</f>
        <v>Junior Customer Support Specialist</v>
      </c>
      <c r="C156" s="11" t="str">
        <f>'Data Mentah'!C156</f>
        <v>Bachelor's</v>
      </c>
      <c r="D156" s="23">
        <f>'Data Mentah'!E156</f>
        <v>2</v>
      </c>
      <c r="E156" s="24">
        <f>'Data Mentah'!F156</f>
        <v>35000</v>
      </c>
      <c r="F156" s="27">
        <f>'Vektor S &amp; V'!I156</f>
        <v>1.2633020583282149E-3</v>
      </c>
      <c r="G156" s="11" t="str">
        <f>IF(F156&gt;='Asumsi &amp; Bobot'!$C$15,"Mendapat Bonus","Tidak Mendapat Bonus")</f>
        <v>Tidak Mendapat Bonus</v>
      </c>
      <c r="H156" s="27">
        <f t="shared" si="2"/>
        <v>0</v>
      </c>
      <c r="I156" s="24">
        <f>IF(G156="Mendapat Bonus",H156*'Asumsi &amp; Bobot'!$C$16,0)</f>
        <v>0</v>
      </c>
    </row>
    <row r="157" spans="1:9" ht="15" customHeight="1" x14ac:dyDescent="0.35">
      <c r="A157" s="18">
        <f>'Vektor S &amp; V'!J157</f>
        <v>111</v>
      </c>
      <c r="B157" s="17" t="str">
        <f>'Vektor S &amp; V'!B157</f>
        <v>Senior Marketing Analyst</v>
      </c>
      <c r="C157" s="14" t="str">
        <f>'Data Mentah'!C157</f>
        <v>Master's</v>
      </c>
      <c r="D157" s="19">
        <f>'Data Mentah'!E157</f>
        <v>9</v>
      </c>
      <c r="E157" s="20">
        <f>'Data Mentah'!F157</f>
        <v>95000</v>
      </c>
      <c r="F157" s="26">
        <f>'Vektor S &amp; V'!I157</f>
        <v>3.504680029964229E-3</v>
      </c>
      <c r="G157" s="14" t="str">
        <f>IF(F157&gt;='Asumsi &amp; Bobot'!$C$15,"Mendapat Bonus","Tidak Mendapat Bonus")</f>
        <v>Tidak Mendapat Bonus</v>
      </c>
      <c r="H157" s="26">
        <f t="shared" si="2"/>
        <v>0</v>
      </c>
      <c r="I157" s="20">
        <f>IF(G157="Mendapat Bonus",H157*'Asumsi &amp; Bobot'!$C$16,0)</f>
        <v>0</v>
      </c>
    </row>
    <row r="158" spans="1:9" ht="15" customHeight="1" x14ac:dyDescent="0.35">
      <c r="A158" s="22">
        <f>'Vektor S &amp; V'!J158</f>
        <v>188</v>
      </c>
      <c r="B158" s="8" t="str">
        <f>'Vektor S &amp; V'!B158</f>
        <v>Senior IT Support Specialist</v>
      </c>
      <c r="C158" s="11" t="str">
        <f>'Data Mentah'!C158</f>
        <v>Bachelor's</v>
      </c>
      <c r="D158" s="23">
        <f>'Data Mentah'!E158</f>
        <v>14</v>
      </c>
      <c r="E158" s="24">
        <f>'Data Mentah'!F158</f>
        <v>110000</v>
      </c>
      <c r="F158" s="27">
        <f>'Vektor S &amp; V'!I158</f>
        <v>2.2622710510786402E-3</v>
      </c>
      <c r="G158" s="11" t="str">
        <f>IF(F158&gt;='Asumsi &amp; Bobot'!$C$15,"Mendapat Bonus","Tidak Mendapat Bonus")</f>
        <v>Tidak Mendapat Bonus</v>
      </c>
      <c r="H158" s="27">
        <f t="shared" si="2"/>
        <v>0</v>
      </c>
      <c r="I158" s="24">
        <f>IF(G158="Mendapat Bonus",H158*'Asumsi &amp; Bobot'!$C$16,0)</f>
        <v>0</v>
      </c>
    </row>
    <row r="159" spans="1:9" ht="15" customHeight="1" x14ac:dyDescent="0.35">
      <c r="A159" s="18">
        <f>'Vektor S &amp; V'!J159</f>
        <v>230</v>
      </c>
      <c r="B159" s="17" t="str">
        <f>'Vektor S &amp; V'!B159</f>
        <v>Junior Financial Analyst</v>
      </c>
      <c r="C159" s="14" t="str">
        <f>'Data Mentah'!C159</f>
        <v>Bachelor's</v>
      </c>
      <c r="D159" s="19">
        <f>'Data Mentah'!E159</f>
        <v>5</v>
      </c>
      <c r="E159" s="20">
        <f>'Data Mentah'!F159</f>
        <v>50000</v>
      </c>
      <c r="F159" s="26">
        <f>'Vektor S &amp; V'!I159</f>
        <v>1.9236697181044236E-3</v>
      </c>
      <c r="G159" s="14" t="str">
        <f>IF(F159&gt;='Asumsi &amp; Bobot'!$C$15,"Mendapat Bonus","Tidak Mendapat Bonus")</f>
        <v>Tidak Mendapat Bonus</v>
      </c>
      <c r="H159" s="26">
        <f t="shared" si="2"/>
        <v>0</v>
      </c>
      <c r="I159" s="20">
        <f>IF(G159="Mendapat Bonus",H159*'Asumsi &amp; Bobot'!$C$16,0)</f>
        <v>0</v>
      </c>
    </row>
    <row r="160" spans="1:9" ht="15" customHeight="1" x14ac:dyDescent="0.35">
      <c r="A160" s="22">
        <f>'Vektor S &amp; V'!J160</f>
        <v>144</v>
      </c>
      <c r="B160" s="8" t="str">
        <f>'Vektor S &amp; V'!B160</f>
        <v>Senior Operations Manager</v>
      </c>
      <c r="C160" s="11" t="str">
        <f>'Data Mentah'!C160</f>
        <v>Master's</v>
      </c>
      <c r="D160" s="23">
        <f>'Data Mentah'!E160</f>
        <v>7</v>
      </c>
      <c r="E160" s="24">
        <f>'Data Mentah'!F160</f>
        <v>115000</v>
      </c>
      <c r="F160" s="27">
        <f>'Vektor S &amp; V'!I160</f>
        <v>2.6271654530751302E-3</v>
      </c>
      <c r="G160" s="11" t="str">
        <f>IF(F160&gt;='Asumsi &amp; Bobot'!$C$15,"Mendapat Bonus","Tidak Mendapat Bonus")</f>
        <v>Tidak Mendapat Bonus</v>
      </c>
      <c r="H160" s="27">
        <f t="shared" si="2"/>
        <v>0</v>
      </c>
      <c r="I160" s="24">
        <f>IF(G160="Mendapat Bonus",H160*'Asumsi &amp; Bobot'!$C$16,0)</f>
        <v>0</v>
      </c>
    </row>
    <row r="161" spans="1:9" ht="15" customHeight="1" x14ac:dyDescent="0.35">
      <c r="A161" s="18">
        <f>'Vektor S &amp; V'!J161</f>
        <v>1</v>
      </c>
      <c r="B161" s="17" t="str">
        <f>'Vektor S &amp; V'!B161</f>
        <v>Director of Human Resources</v>
      </c>
      <c r="C161" s="14" t="str">
        <f>'Data Mentah'!C161</f>
        <v>PhD</v>
      </c>
      <c r="D161" s="19">
        <f>'Data Mentah'!E161</f>
        <v>23</v>
      </c>
      <c r="E161" s="20">
        <f>'Data Mentah'!F161</f>
        <v>185000</v>
      </c>
      <c r="F161" s="26">
        <f>'Vektor S &amp; V'!I161</f>
        <v>5.5819416431754244E-3</v>
      </c>
      <c r="G161" s="14" t="str">
        <f>IF(F161&gt;='Asumsi &amp; Bobot'!$C$15,"Mendapat Bonus","Tidak Mendapat Bonus")</f>
        <v>Mendapat Bonus</v>
      </c>
      <c r="H161" s="26">
        <f t="shared" si="2"/>
        <v>1.6889487085569733E-2</v>
      </c>
      <c r="I161" s="20">
        <f>IF(G161="Mendapat Bonus",H161*'Asumsi &amp; Bobot'!$C$16,0)</f>
        <v>844.47435427848666</v>
      </c>
    </row>
    <row r="162" spans="1:9" ht="15" customHeight="1" x14ac:dyDescent="0.35">
      <c r="A162" s="22">
        <f>'Vektor S &amp; V'!J162</f>
        <v>347</v>
      </c>
      <c r="B162" s="8" t="str">
        <f>'Vektor S &amp; V'!B162</f>
        <v>Junior Software Engineer</v>
      </c>
      <c r="C162" s="11" t="str">
        <f>'Data Mentah'!C162</f>
        <v>Bachelor's</v>
      </c>
      <c r="D162" s="23">
        <f>'Data Mentah'!E162</f>
        <v>2</v>
      </c>
      <c r="E162" s="24">
        <f>'Data Mentah'!F162</f>
        <v>40000</v>
      </c>
      <c r="F162" s="27">
        <f>'Vektor S &amp; V'!I162</f>
        <v>1.3209316495539497E-3</v>
      </c>
      <c r="G162" s="11" t="str">
        <f>IF(F162&gt;='Asumsi &amp; Bobot'!$C$15,"Mendapat Bonus","Tidak Mendapat Bonus")</f>
        <v>Tidak Mendapat Bonus</v>
      </c>
      <c r="H162" s="27">
        <f t="shared" si="2"/>
        <v>0</v>
      </c>
      <c r="I162" s="24">
        <f>IF(G162="Mendapat Bonus",H162*'Asumsi &amp; Bobot'!$C$16,0)</f>
        <v>0</v>
      </c>
    </row>
    <row r="163" spans="1:9" ht="15" customHeight="1" x14ac:dyDescent="0.35">
      <c r="A163" s="18">
        <f>'Vektor S &amp; V'!J163</f>
        <v>161</v>
      </c>
      <c r="B163" s="17" t="str">
        <f>'Vektor S &amp; V'!B163</f>
        <v>Senior Sales Representative</v>
      </c>
      <c r="C163" s="14" t="str">
        <f>'Data Mentah'!C163</f>
        <v>Bachelor's</v>
      </c>
      <c r="D163" s="19">
        <f>'Data Mentah'!E163</f>
        <v>12</v>
      </c>
      <c r="E163" s="20">
        <f>'Data Mentah'!F163</f>
        <v>90000</v>
      </c>
      <c r="F163" s="26">
        <f>'Vektor S &amp; V'!I163</f>
        <v>2.4658529758032695E-3</v>
      </c>
      <c r="G163" s="14" t="str">
        <f>IF(F163&gt;='Asumsi &amp; Bobot'!$C$15,"Mendapat Bonus","Tidak Mendapat Bonus")</f>
        <v>Tidak Mendapat Bonus</v>
      </c>
      <c r="H163" s="26">
        <f t="shared" si="2"/>
        <v>0</v>
      </c>
      <c r="I163" s="20">
        <f>IF(G163="Mendapat Bonus",H163*'Asumsi &amp; Bobot'!$C$16,0)</f>
        <v>0</v>
      </c>
    </row>
    <row r="164" spans="1:9" ht="15" customHeight="1" x14ac:dyDescent="0.35">
      <c r="A164" s="22">
        <f>'Vektor S &amp; V'!J164</f>
        <v>77</v>
      </c>
      <c r="B164" s="8" t="str">
        <f>'Vektor S &amp; V'!B164</f>
        <v>Director of Product Management</v>
      </c>
      <c r="C164" s="11" t="str">
        <f>'Data Mentah'!C164</f>
        <v>Master's</v>
      </c>
      <c r="D164" s="23">
        <f>'Data Mentah'!E164</f>
        <v>21</v>
      </c>
      <c r="E164" s="24">
        <f>'Data Mentah'!F164</f>
        <v>175000</v>
      </c>
      <c r="F164" s="27">
        <f>'Vektor S &amp; V'!I164</f>
        <v>3.9195977812508456E-3</v>
      </c>
      <c r="G164" s="11" t="str">
        <f>IF(F164&gt;='Asumsi &amp; Bobot'!$C$15,"Mendapat Bonus","Tidak Mendapat Bonus")</f>
        <v>Tidak Mendapat Bonus</v>
      </c>
      <c r="H164" s="27">
        <f t="shared" si="2"/>
        <v>0</v>
      </c>
      <c r="I164" s="24">
        <f>IF(G164="Mendapat Bonus",H164*'Asumsi &amp; Bobot'!$C$16,0)</f>
        <v>0</v>
      </c>
    </row>
    <row r="165" spans="1:9" ht="15" customHeight="1" x14ac:dyDescent="0.35">
      <c r="A165" s="18">
        <f>'Vektor S &amp; V'!J165</f>
        <v>283</v>
      </c>
      <c r="B165" s="17" t="str">
        <f>'Vektor S &amp; V'!B165</f>
        <v>Junior Copywriter</v>
      </c>
      <c r="C165" s="14" t="str">
        <f>'Data Mentah'!C165</f>
        <v>Bachelor's</v>
      </c>
      <c r="D165" s="19">
        <f>'Data Mentah'!E165</f>
        <v>3</v>
      </c>
      <c r="E165" s="20">
        <f>'Data Mentah'!F165</f>
        <v>45000</v>
      </c>
      <c r="F165" s="26">
        <f>'Vektor S &amp; V'!I165</f>
        <v>1.6966743608285361E-3</v>
      </c>
      <c r="G165" s="14" t="str">
        <f>IF(F165&gt;='Asumsi &amp; Bobot'!$C$15,"Mendapat Bonus","Tidak Mendapat Bonus")</f>
        <v>Tidak Mendapat Bonus</v>
      </c>
      <c r="H165" s="26">
        <f t="shared" si="2"/>
        <v>0</v>
      </c>
      <c r="I165" s="20">
        <f>IF(G165="Mendapat Bonus",H165*'Asumsi &amp; Bobot'!$C$16,0)</f>
        <v>0</v>
      </c>
    </row>
    <row r="166" spans="1:9" ht="15" customHeight="1" x14ac:dyDescent="0.35">
      <c r="A166" s="22">
        <f>'Vektor S &amp; V'!J166</f>
        <v>265</v>
      </c>
      <c r="B166" s="8" t="str">
        <f>'Vektor S &amp; V'!B166</f>
        <v>Senior Marketing Coordinator</v>
      </c>
      <c r="C166" s="11" t="str">
        <f>'Data Mentah'!C166</f>
        <v>Bachelor's</v>
      </c>
      <c r="D166" s="23">
        <f>'Data Mentah'!E166</f>
        <v>7</v>
      </c>
      <c r="E166" s="24">
        <f>'Data Mentah'!F166</f>
        <v>80000</v>
      </c>
      <c r="F166" s="27">
        <f>'Vektor S &amp; V'!I166</f>
        <v>1.7804611800157509E-3</v>
      </c>
      <c r="G166" s="11" t="str">
        <f>IF(F166&gt;='Asumsi &amp; Bobot'!$C$15,"Mendapat Bonus","Tidak Mendapat Bonus")</f>
        <v>Tidak Mendapat Bonus</v>
      </c>
      <c r="H166" s="27">
        <f t="shared" si="2"/>
        <v>0</v>
      </c>
      <c r="I166" s="24">
        <f>IF(G166="Mendapat Bonus",H166*'Asumsi &amp; Bobot'!$C$16,0)</f>
        <v>0</v>
      </c>
    </row>
    <row r="167" spans="1:9" ht="15" customHeight="1" x14ac:dyDescent="0.35">
      <c r="A167" s="18">
        <f>'Vektor S &amp; V'!J167</f>
        <v>76</v>
      </c>
      <c r="B167" s="17" t="str">
        <f>'Vektor S &amp; V'!B167</f>
        <v>Senior Human Resources Manager</v>
      </c>
      <c r="C167" s="14" t="str">
        <f>'Data Mentah'!C167</f>
        <v>Master's</v>
      </c>
      <c r="D167" s="19">
        <f>'Data Mentah'!E167</f>
        <v>13</v>
      </c>
      <c r="E167" s="20">
        <f>'Data Mentah'!F167</f>
        <v>120000</v>
      </c>
      <c r="F167" s="26">
        <f>'Vektor S &amp; V'!I167</f>
        <v>3.9286935995340383E-3</v>
      </c>
      <c r="G167" s="14" t="str">
        <f>IF(F167&gt;='Asumsi &amp; Bobot'!$C$15,"Mendapat Bonus","Tidak Mendapat Bonus")</f>
        <v>Tidak Mendapat Bonus</v>
      </c>
      <c r="H167" s="26">
        <f t="shared" si="2"/>
        <v>0</v>
      </c>
      <c r="I167" s="20">
        <f>IF(G167="Mendapat Bonus",H167*'Asumsi &amp; Bobot'!$C$16,0)</f>
        <v>0</v>
      </c>
    </row>
    <row r="168" spans="1:9" ht="15" customHeight="1" x14ac:dyDescent="0.35">
      <c r="A168" s="22">
        <f>'Vektor S &amp; V'!J168</f>
        <v>364</v>
      </c>
      <c r="B168" s="8" t="str">
        <f>'Vektor S &amp; V'!B168</f>
        <v>Junior Business Development Associate</v>
      </c>
      <c r="C168" s="11" t="str">
        <f>'Data Mentah'!C168</f>
        <v>Bachelor's</v>
      </c>
      <c r="D168" s="23">
        <f>'Data Mentah'!E168</f>
        <v>1.5</v>
      </c>
      <c r="E168" s="24">
        <f>'Data Mentah'!F168</f>
        <v>35000</v>
      </c>
      <c r="F168" s="27">
        <f>'Vektor S &amp; V'!I168</f>
        <v>1.2538293865239848E-3</v>
      </c>
      <c r="G168" s="11" t="str">
        <f>IF(F168&gt;='Asumsi &amp; Bobot'!$C$15,"Mendapat Bonus","Tidak Mendapat Bonus")</f>
        <v>Tidak Mendapat Bonus</v>
      </c>
      <c r="H168" s="27">
        <f t="shared" si="2"/>
        <v>0</v>
      </c>
      <c r="I168" s="24">
        <f>IF(G168="Mendapat Bonus",H168*'Asumsi &amp; Bobot'!$C$16,0)</f>
        <v>0</v>
      </c>
    </row>
    <row r="169" spans="1:9" ht="15" customHeight="1" x14ac:dyDescent="0.35">
      <c r="A169" s="18">
        <f>'Vektor S &amp; V'!J169</f>
        <v>151</v>
      </c>
      <c r="B169" s="17" t="str">
        <f>'Vektor S &amp; V'!B169</f>
        <v>Senior Account Manager</v>
      </c>
      <c r="C169" s="14" t="str">
        <f>'Data Mentah'!C169</f>
        <v>Bachelor's</v>
      </c>
      <c r="D169" s="19">
        <f>'Data Mentah'!E169</f>
        <v>14</v>
      </c>
      <c r="E169" s="20">
        <f>'Data Mentah'!F169</f>
        <v>110000</v>
      </c>
      <c r="F169" s="26">
        <f>'Vektor S &amp; V'!I169</f>
        <v>2.5445600229252628E-3</v>
      </c>
      <c r="G169" s="14" t="str">
        <f>IF(F169&gt;='Asumsi &amp; Bobot'!$C$15,"Mendapat Bonus","Tidak Mendapat Bonus")</f>
        <v>Tidak Mendapat Bonus</v>
      </c>
      <c r="H169" s="26">
        <f t="shared" si="2"/>
        <v>0</v>
      </c>
      <c r="I169" s="20">
        <f>IF(G169="Mendapat Bonus",H169*'Asumsi &amp; Bobot'!$C$16,0)</f>
        <v>0</v>
      </c>
    </row>
    <row r="170" spans="1:9" ht="15" customHeight="1" x14ac:dyDescent="0.35">
      <c r="A170" s="22">
        <f>'Vektor S &amp; V'!J170</f>
        <v>50</v>
      </c>
      <c r="B170" s="8" t="str">
        <f>'Vektor S &amp; V'!B170</f>
        <v>Senior Researcher</v>
      </c>
      <c r="C170" s="11" t="str">
        <f>'Data Mentah'!C170</f>
        <v>PhD</v>
      </c>
      <c r="D170" s="23">
        <f>'Data Mentah'!E170</f>
        <v>18</v>
      </c>
      <c r="E170" s="24">
        <f>'Data Mentah'!F170</f>
        <v>150000</v>
      </c>
      <c r="F170" s="27">
        <f>'Vektor S &amp; V'!I170</f>
        <v>4.4078864386458199E-3</v>
      </c>
      <c r="G170" s="11" t="str">
        <f>IF(F170&gt;='Asumsi &amp; Bobot'!$C$15,"Mendapat Bonus","Tidak Mendapat Bonus")</f>
        <v>Mendapat Bonus</v>
      </c>
      <c r="H170" s="27">
        <f t="shared" si="2"/>
        <v>1.3337104871238958E-2</v>
      </c>
      <c r="I170" s="24">
        <f>IF(G170="Mendapat Bonus",H170*'Asumsi &amp; Bobot'!$C$16,0)</f>
        <v>666.85524356194787</v>
      </c>
    </row>
    <row r="171" spans="1:9" ht="15" customHeight="1" x14ac:dyDescent="0.35">
      <c r="A171" s="18">
        <f>'Vektor S &amp; V'!J171</f>
        <v>260</v>
      </c>
      <c r="B171" s="17" t="str">
        <f>'Vektor S &amp; V'!B171</f>
        <v>Junior HR Coordinator</v>
      </c>
      <c r="C171" s="14" t="str">
        <f>'Data Mentah'!C171</f>
        <v>Bachelor's</v>
      </c>
      <c r="D171" s="19">
        <f>'Data Mentah'!E171</f>
        <v>4</v>
      </c>
      <c r="E171" s="20">
        <f>'Data Mentah'!F171</f>
        <v>50000</v>
      </c>
      <c r="F171" s="26">
        <f>'Vektor S &amp; V'!I171</f>
        <v>1.8066050175784506E-3</v>
      </c>
      <c r="G171" s="14" t="str">
        <f>IF(F171&gt;='Asumsi &amp; Bobot'!$C$15,"Mendapat Bonus","Tidak Mendapat Bonus")</f>
        <v>Tidak Mendapat Bonus</v>
      </c>
      <c r="H171" s="26">
        <f t="shared" si="2"/>
        <v>0</v>
      </c>
      <c r="I171" s="20">
        <f>IF(G171="Mendapat Bonus",H171*'Asumsi &amp; Bobot'!$C$16,0)</f>
        <v>0</v>
      </c>
    </row>
    <row r="172" spans="1:9" ht="15" customHeight="1" x14ac:dyDescent="0.35">
      <c r="A172" s="22">
        <f>'Vektor S &amp; V'!J172</f>
        <v>134</v>
      </c>
      <c r="B172" s="8" t="str">
        <f>'Vektor S &amp; V'!B172</f>
        <v>Senior Software Engineer</v>
      </c>
      <c r="C172" s="11" t="str">
        <f>'Data Mentah'!C172</f>
        <v>Master's</v>
      </c>
      <c r="D172" s="23">
        <f>'Data Mentah'!E172</f>
        <v>9</v>
      </c>
      <c r="E172" s="24">
        <f>'Data Mentah'!F172</f>
        <v>105000</v>
      </c>
      <c r="F172" s="27">
        <f>'Vektor S &amp; V'!I172</f>
        <v>2.8636951915586902E-3</v>
      </c>
      <c r="G172" s="11" t="str">
        <f>IF(F172&gt;='Asumsi &amp; Bobot'!$C$15,"Mendapat Bonus","Tidak Mendapat Bonus")</f>
        <v>Tidak Mendapat Bonus</v>
      </c>
      <c r="H172" s="27">
        <f t="shared" si="2"/>
        <v>0</v>
      </c>
      <c r="I172" s="24">
        <f>IF(G172="Mendapat Bonus",H172*'Asumsi &amp; Bobot'!$C$16,0)</f>
        <v>0</v>
      </c>
    </row>
    <row r="173" spans="1:9" ht="15" customHeight="1" x14ac:dyDescent="0.35">
      <c r="A173" s="18">
        <f>'Vektor S &amp; V'!J173</f>
        <v>39</v>
      </c>
      <c r="B173" s="17" t="str">
        <f>'Vektor S &amp; V'!B173</f>
        <v>Director of Finance</v>
      </c>
      <c r="C173" s="14" t="str">
        <f>'Data Mentah'!C173</f>
        <v>Master's</v>
      </c>
      <c r="D173" s="19">
        <f>'Data Mentah'!E173</f>
        <v>20</v>
      </c>
      <c r="E173" s="20">
        <f>'Data Mentah'!F173</f>
        <v>180000</v>
      </c>
      <c r="F173" s="26">
        <f>'Vektor S &amp; V'!I173</f>
        <v>4.5519713143564004E-3</v>
      </c>
      <c r="G173" s="14" t="str">
        <f>IF(F173&gt;='Asumsi &amp; Bobot'!$C$15,"Mendapat Bonus","Tidak Mendapat Bonus")</f>
        <v>Mendapat Bonus</v>
      </c>
      <c r="H173" s="26">
        <f t="shared" si="2"/>
        <v>1.3773067803691868E-2</v>
      </c>
      <c r="I173" s="20">
        <f>IF(G173="Mendapat Bonus",H173*'Asumsi &amp; Bobot'!$C$16,0)</f>
        <v>688.65339018459338</v>
      </c>
    </row>
    <row r="174" spans="1:9" ht="15" customHeight="1" x14ac:dyDescent="0.35">
      <c r="A174" s="22">
        <f>'Vektor S &amp; V'!J174</f>
        <v>344</v>
      </c>
      <c r="B174" s="8" t="str">
        <f>'Vektor S &amp; V'!B174</f>
        <v>Junior Marketing Coordinator</v>
      </c>
      <c r="C174" s="11" t="str">
        <f>'Data Mentah'!C174</f>
        <v>Bachelor's</v>
      </c>
      <c r="D174" s="23">
        <f>'Data Mentah'!E174</f>
        <v>2</v>
      </c>
      <c r="E174" s="24">
        <f>'Data Mentah'!F174</f>
        <v>40000</v>
      </c>
      <c r="F174" s="27">
        <f>'Vektor S &amp; V'!I174</f>
        <v>1.3512134219532648E-3</v>
      </c>
      <c r="G174" s="11" t="str">
        <f>IF(F174&gt;='Asumsi &amp; Bobot'!$C$15,"Mendapat Bonus","Tidak Mendapat Bonus")</f>
        <v>Tidak Mendapat Bonus</v>
      </c>
      <c r="H174" s="27">
        <f t="shared" si="2"/>
        <v>0</v>
      </c>
      <c r="I174" s="24">
        <f>IF(G174="Mendapat Bonus",H174*'Asumsi &amp; Bobot'!$C$16,0)</f>
        <v>0</v>
      </c>
    </row>
    <row r="175" spans="1:9" ht="15" customHeight="1" x14ac:dyDescent="0.35">
      <c r="A175" s="18">
        <f>'Vektor S &amp; V'!J175</f>
        <v>185</v>
      </c>
      <c r="B175" s="17" t="str">
        <f>'Vektor S &amp; V'!B175</f>
        <v>Senior Project Manager</v>
      </c>
      <c r="C175" s="14" t="str">
        <f>'Data Mentah'!C175</f>
        <v>Bachelor's</v>
      </c>
      <c r="D175" s="19">
        <f>'Data Mentah'!E175</f>
        <v>16</v>
      </c>
      <c r="E175" s="20">
        <f>'Data Mentah'!F175</f>
        <v>140000</v>
      </c>
      <c r="F175" s="26">
        <f>'Vektor S &amp; V'!I175</f>
        <v>2.2686435139131172E-3</v>
      </c>
      <c r="G175" s="14" t="str">
        <f>IF(F175&gt;='Asumsi &amp; Bobot'!$C$15,"Mendapat Bonus","Tidak Mendapat Bonus")</f>
        <v>Tidak Mendapat Bonus</v>
      </c>
      <c r="H175" s="26">
        <f t="shared" si="2"/>
        <v>0</v>
      </c>
      <c r="I175" s="20">
        <f>IF(G175="Mendapat Bonus",H175*'Asumsi &amp; Bobot'!$C$16,0)</f>
        <v>0</v>
      </c>
    </row>
    <row r="176" spans="1:9" ht="15" customHeight="1" x14ac:dyDescent="0.35">
      <c r="A176" s="22">
        <f>'Vektor S &amp; V'!J176</f>
        <v>200</v>
      </c>
      <c r="B176" s="8" t="str">
        <f>'Vektor S &amp; V'!B176</f>
        <v>Junior Data Scientist</v>
      </c>
      <c r="C176" s="11" t="str">
        <f>'Data Mentah'!C176</f>
        <v>Master's</v>
      </c>
      <c r="D176" s="23">
        <f>'Data Mentah'!E176</f>
        <v>1.5</v>
      </c>
      <c r="E176" s="24">
        <f>'Data Mentah'!F176</f>
        <v>45000</v>
      </c>
      <c r="F176" s="27">
        <f>'Vektor S &amp; V'!I176</f>
        <v>2.1927681999182893E-3</v>
      </c>
      <c r="G176" s="11" t="str">
        <f>IF(F176&gt;='Asumsi &amp; Bobot'!$C$15,"Mendapat Bonus","Tidak Mendapat Bonus")</f>
        <v>Tidak Mendapat Bonus</v>
      </c>
      <c r="H176" s="27">
        <f t="shared" si="2"/>
        <v>0</v>
      </c>
      <c r="I176" s="24">
        <f>IF(G176="Mendapat Bonus",H176*'Asumsi &amp; Bobot'!$C$16,0)</f>
        <v>0</v>
      </c>
    </row>
    <row r="177" spans="1:9" ht="15" customHeight="1" x14ac:dyDescent="0.35">
      <c r="A177" s="18">
        <f>'Vektor S &amp; V'!J177</f>
        <v>267</v>
      </c>
      <c r="B177" s="17" t="str">
        <f>'Vektor S &amp; V'!B177</f>
        <v>Senior Operations Analyst</v>
      </c>
      <c r="C177" s="14" t="str">
        <f>'Data Mentah'!C177</f>
        <v>Bachelor's</v>
      </c>
      <c r="D177" s="19">
        <f>'Data Mentah'!E177</f>
        <v>7</v>
      </c>
      <c r="E177" s="20">
        <f>'Data Mentah'!F177</f>
        <v>85000</v>
      </c>
      <c r="F177" s="26">
        <f>'Vektor S &amp; V'!I177</f>
        <v>1.769690441674782E-3</v>
      </c>
      <c r="G177" s="14" t="str">
        <f>IF(F177&gt;='Asumsi &amp; Bobot'!$C$15,"Mendapat Bonus","Tidak Mendapat Bonus")</f>
        <v>Tidak Mendapat Bonus</v>
      </c>
      <c r="H177" s="26">
        <f t="shared" si="2"/>
        <v>0</v>
      </c>
      <c r="I177" s="20">
        <f>IF(G177="Mendapat Bonus",H177*'Asumsi &amp; Bobot'!$C$16,0)</f>
        <v>0</v>
      </c>
    </row>
    <row r="178" spans="1:9" ht="15" customHeight="1" x14ac:dyDescent="0.35">
      <c r="A178" s="22">
        <f>'Vektor S &amp; V'!J178</f>
        <v>7</v>
      </c>
      <c r="B178" s="8" t="str">
        <f>'Vektor S &amp; V'!B178</f>
        <v>Senior Marketing Manager</v>
      </c>
      <c r="C178" s="11" t="str">
        <f>'Data Mentah'!C178</f>
        <v>PhD</v>
      </c>
      <c r="D178" s="23">
        <f>'Data Mentah'!E178</f>
        <v>18</v>
      </c>
      <c r="E178" s="24">
        <f>'Data Mentah'!F178</f>
        <v>140000</v>
      </c>
      <c r="F178" s="27">
        <f>'Vektor S &amp; V'!I178</f>
        <v>5.0112558667514788E-3</v>
      </c>
      <c r="G178" s="11" t="str">
        <f>IF(F178&gt;='Asumsi &amp; Bobot'!$C$15,"Mendapat Bonus","Tidak Mendapat Bonus")</f>
        <v>Mendapat Bonus</v>
      </c>
      <c r="H178" s="27">
        <f t="shared" si="2"/>
        <v>1.516274204469048E-2</v>
      </c>
      <c r="I178" s="24">
        <f>IF(G178="Mendapat Bonus",H178*'Asumsi &amp; Bobot'!$C$16,0)</f>
        <v>758.13710223452404</v>
      </c>
    </row>
    <row r="179" spans="1:9" ht="15" customHeight="1" x14ac:dyDescent="0.35">
      <c r="A179" s="18">
        <f>'Vektor S &amp; V'!J179</f>
        <v>318</v>
      </c>
      <c r="B179" s="17" t="str">
        <f>'Vektor S &amp; V'!B179</f>
        <v>Junior Accountant</v>
      </c>
      <c r="C179" s="14" t="str">
        <f>'Data Mentah'!C179</f>
        <v>Bachelor's</v>
      </c>
      <c r="D179" s="19">
        <f>'Data Mentah'!E179</f>
        <v>4</v>
      </c>
      <c r="E179" s="20">
        <f>'Data Mentah'!F179</f>
        <v>50000</v>
      </c>
      <c r="F179" s="26">
        <f>'Vektor S &amp; V'!I179</f>
        <v>1.5495177139507673E-3</v>
      </c>
      <c r="G179" s="14" t="str">
        <f>IF(F179&gt;='Asumsi &amp; Bobot'!$C$15,"Mendapat Bonus","Tidak Mendapat Bonus")</f>
        <v>Tidak Mendapat Bonus</v>
      </c>
      <c r="H179" s="26">
        <f t="shared" si="2"/>
        <v>0</v>
      </c>
      <c r="I179" s="20">
        <f>IF(G179="Mendapat Bonus",H179*'Asumsi &amp; Bobot'!$C$16,0)</f>
        <v>0</v>
      </c>
    </row>
    <row r="180" spans="1:9" ht="15" customHeight="1" x14ac:dyDescent="0.35">
      <c r="A180" s="22">
        <f>'Vektor S &amp; V'!J180</f>
        <v>175</v>
      </c>
      <c r="B180" s="8" t="str">
        <f>'Vektor S &amp; V'!B180</f>
        <v>Senior Human Resources Coordinator</v>
      </c>
      <c r="C180" s="11" t="str">
        <f>'Data Mentah'!C180</f>
        <v>Bachelor's</v>
      </c>
      <c r="D180" s="23">
        <f>'Data Mentah'!E180</f>
        <v>10</v>
      </c>
      <c r="E180" s="24">
        <f>'Data Mentah'!F180</f>
        <v>80000</v>
      </c>
      <c r="F180" s="27">
        <f>'Vektor S &amp; V'!I180</f>
        <v>2.3521149196052151E-3</v>
      </c>
      <c r="G180" s="11" t="str">
        <f>IF(F180&gt;='Asumsi &amp; Bobot'!$C$15,"Mendapat Bonus","Tidak Mendapat Bonus")</f>
        <v>Tidak Mendapat Bonus</v>
      </c>
      <c r="H180" s="27">
        <f t="shared" si="2"/>
        <v>0</v>
      </c>
      <c r="I180" s="24">
        <f>IF(G180="Mendapat Bonus",H180*'Asumsi &amp; Bobot'!$C$16,0)</f>
        <v>0</v>
      </c>
    </row>
    <row r="181" spans="1:9" ht="15" customHeight="1" x14ac:dyDescent="0.35">
      <c r="A181" s="18">
        <f>'Vektor S &amp; V'!J181</f>
        <v>88</v>
      </c>
      <c r="B181" s="17" t="str">
        <f>'Vektor S &amp; V'!B181</f>
        <v>Director of Operations</v>
      </c>
      <c r="C181" s="14" t="str">
        <f>'Data Mentah'!C181</f>
        <v>Master's</v>
      </c>
      <c r="D181" s="19">
        <f>'Data Mentah'!E181</f>
        <v>20</v>
      </c>
      <c r="E181" s="20">
        <f>'Data Mentah'!F181</f>
        <v>170000</v>
      </c>
      <c r="F181" s="26">
        <f>'Vektor S &amp; V'!I181</f>
        <v>3.8204251379387235E-3</v>
      </c>
      <c r="G181" s="14" t="str">
        <f>IF(F181&gt;='Asumsi &amp; Bobot'!$C$15,"Mendapat Bonus","Tidak Mendapat Bonus")</f>
        <v>Tidak Mendapat Bonus</v>
      </c>
      <c r="H181" s="26">
        <f t="shared" si="2"/>
        <v>0</v>
      </c>
      <c r="I181" s="20">
        <f>IF(G181="Mendapat Bonus",H181*'Asumsi &amp; Bobot'!$C$16,0)</f>
        <v>0</v>
      </c>
    </row>
    <row r="182" spans="1:9" ht="15" customHeight="1" x14ac:dyDescent="0.35">
      <c r="A182" s="22">
        <f>'Vektor S &amp; V'!J182</f>
        <v>302</v>
      </c>
      <c r="B182" s="8" t="str">
        <f>'Vektor S &amp; V'!B182</f>
        <v>Junior Sales Representative</v>
      </c>
      <c r="C182" s="11" t="str">
        <f>'Data Mentah'!C182</f>
        <v>Bachelor's</v>
      </c>
      <c r="D182" s="23">
        <f>'Data Mentah'!E182</f>
        <v>2</v>
      </c>
      <c r="E182" s="24">
        <f>'Data Mentah'!F182</f>
        <v>40000</v>
      </c>
      <c r="F182" s="27">
        <f>'Vektor S &amp; V'!I182</f>
        <v>1.5753991877227921E-3</v>
      </c>
      <c r="G182" s="11" t="str">
        <f>IF(F182&gt;='Asumsi &amp; Bobot'!$C$15,"Mendapat Bonus","Tidak Mendapat Bonus")</f>
        <v>Tidak Mendapat Bonus</v>
      </c>
      <c r="H182" s="27">
        <f t="shared" si="2"/>
        <v>0</v>
      </c>
      <c r="I182" s="24">
        <f>IF(G182="Mendapat Bonus",H182*'Asumsi &amp; Bobot'!$C$16,0)</f>
        <v>0</v>
      </c>
    </row>
    <row r="183" spans="1:9" ht="15" customHeight="1" x14ac:dyDescent="0.35">
      <c r="A183" s="18">
        <f>'Vektor S &amp; V'!J183</f>
        <v>130</v>
      </c>
      <c r="B183" s="17" t="str">
        <f>'Vektor S &amp; V'!B183</f>
        <v>Senior Business Analyst</v>
      </c>
      <c r="C183" s="14" t="str">
        <f>'Data Mentah'!C183</f>
        <v>Master's</v>
      </c>
      <c r="D183" s="19">
        <f>'Data Mentah'!E183</f>
        <v>9</v>
      </c>
      <c r="E183" s="20">
        <f>'Data Mentah'!F183</f>
        <v>105000</v>
      </c>
      <c r="F183" s="26">
        <f>'Vektor S &amp; V'!I183</f>
        <v>2.9746355773431796E-3</v>
      </c>
      <c r="G183" s="14" t="str">
        <f>IF(F183&gt;='Asumsi &amp; Bobot'!$C$15,"Mendapat Bonus","Tidak Mendapat Bonus")</f>
        <v>Tidak Mendapat Bonus</v>
      </c>
      <c r="H183" s="26">
        <f t="shared" si="2"/>
        <v>0</v>
      </c>
      <c r="I183" s="20">
        <f>IF(G183="Mendapat Bonus",H183*'Asumsi &amp; Bobot'!$C$16,0)</f>
        <v>0</v>
      </c>
    </row>
    <row r="184" spans="1:9" ht="15" customHeight="1" x14ac:dyDescent="0.35">
      <c r="A184" s="22">
        <f>'Vektor S &amp; V'!J184</f>
        <v>17</v>
      </c>
      <c r="B184" s="8" t="str">
        <f>'Vektor S &amp; V'!B184</f>
        <v>Senior UX Designer</v>
      </c>
      <c r="C184" s="11" t="str">
        <f>'Data Mentah'!C184</f>
        <v>PhD</v>
      </c>
      <c r="D184" s="23">
        <f>'Data Mentah'!E184</f>
        <v>15</v>
      </c>
      <c r="E184" s="24">
        <f>'Data Mentah'!F184</f>
        <v>145000</v>
      </c>
      <c r="F184" s="27">
        <f>'Vektor S &amp; V'!I184</f>
        <v>4.8207872091409884E-3</v>
      </c>
      <c r="G184" s="11" t="str">
        <f>IF(F184&gt;='Asumsi &amp; Bobot'!$C$15,"Mendapat Bonus","Tidak Mendapat Bonus")</f>
        <v>Mendapat Bonus</v>
      </c>
      <c r="H184" s="27">
        <f t="shared" si="2"/>
        <v>1.4586433989436759E-2</v>
      </c>
      <c r="I184" s="24">
        <f>IF(G184="Mendapat Bonus",H184*'Asumsi &amp; Bobot'!$C$16,0)</f>
        <v>729.32169947183797</v>
      </c>
    </row>
    <row r="185" spans="1:9" ht="15" customHeight="1" x14ac:dyDescent="0.35">
      <c r="A185" s="18">
        <f>'Vektor S &amp; V'!J185</f>
        <v>358</v>
      </c>
      <c r="B185" s="17" t="str">
        <f>'Vektor S &amp; V'!B185</f>
        <v>Junior Product Manager</v>
      </c>
      <c r="C185" s="14" t="str">
        <f>'Data Mentah'!C185</f>
        <v>Bachelor's</v>
      </c>
      <c r="D185" s="19">
        <f>'Data Mentah'!E185</f>
        <v>2</v>
      </c>
      <c r="E185" s="20">
        <f>'Data Mentah'!F185</f>
        <v>40000</v>
      </c>
      <c r="F185" s="26">
        <f>'Vektor S &amp; V'!I185</f>
        <v>1.2875878811840844E-3</v>
      </c>
      <c r="G185" s="14" t="str">
        <f>IF(F185&gt;='Asumsi &amp; Bobot'!$C$15,"Mendapat Bonus","Tidak Mendapat Bonus")</f>
        <v>Tidak Mendapat Bonus</v>
      </c>
      <c r="H185" s="26">
        <f t="shared" si="2"/>
        <v>0</v>
      </c>
      <c r="I185" s="20">
        <f>IF(G185="Mendapat Bonus",H185*'Asumsi &amp; Bobot'!$C$16,0)</f>
        <v>0</v>
      </c>
    </row>
    <row r="186" spans="1:9" ht="15" customHeight="1" x14ac:dyDescent="0.35">
      <c r="A186" s="22">
        <f>'Vektor S &amp; V'!J186</f>
        <v>204</v>
      </c>
      <c r="B186" s="8" t="str">
        <f>'Vektor S &amp; V'!B186</f>
        <v>Senior Marketing Specialist</v>
      </c>
      <c r="C186" s="11" t="str">
        <f>'Data Mentah'!C186</f>
        <v>Bachelor's</v>
      </c>
      <c r="D186" s="23">
        <f>'Data Mentah'!E186</f>
        <v>8</v>
      </c>
      <c r="E186" s="24">
        <f>'Data Mentah'!F186</f>
        <v>85000</v>
      </c>
      <c r="F186" s="27">
        <f>'Vektor S &amp; V'!I186</f>
        <v>2.1584797348742895E-3</v>
      </c>
      <c r="G186" s="11" t="str">
        <f>IF(F186&gt;='Asumsi &amp; Bobot'!$C$15,"Mendapat Bonus","Tidak Mendapat Bonus")</f>
        <v>Tidak Mendapat Bonus</v>
      </c>
      <c r="H186" s="27">
        <f t="shared" si="2"/>
        <v>0</v>
      </c>
      <c r="I186" s="24">
        <f>IF(G186="Mendapat Bonus",H186*'Asumsi &amp; Bobot'!$C$16,0)</f>
        <v>0</v>
      </c>
    </row>
    <row r="187" spans="1:9" ht="15" customHeight="1" x14ac:dyDescent="0.35">
      <c r="A187" s="18">
        <f>'Vektor S &amp; V'!J187</f>
        <v>197</v>
      </c>
      <c r="B187" s="17" t="str">
        <f>'Vektor S &amp; V'!B187</f>
        <v>Senior IT Project Manager</v>
      </c>
      <c r="C187" s="14" t="str">
        <f>'Data Mentah'!C187</f>
        <v>Bachelor's</v>
      </c>
      <c r="D187" s="19">
        <f>'Data Mentah'!E187</f>
        <v>14</v>
      </c>
      <c r="E187" s="20">
        <f>'Data Mentah'!F187</f>
        <v>130000</v>
      </c>
      <c r="F187" s="26">
        <f>'Vektor S &amp; V'!I187</f>
        <v>2.2030787071724836E-3</v>
      </c>
      <c r="G187" s="14" t="str">
        <f>IF(F187&gt;='Asumsi &amp; Bobot'!$C$15,"Mendapat Bonus","Tidak Mendapat Bonus")</f>
        <v>Tidak Mendapat Bonus</v>
      </c>
      <c r="H187" s="26">
        <f t="shared" si="2"/>
        <v>0</v>
      </c>
      <c r="I187" s="20">
        <f>IF(G187="Mendapat Bonus",H187*'Asumsi &amp; Bobot'!$C$16,0)</f>
        <v>0</v>
      </c>
    </row>
    <row r="188" spans="1:9" ht="15" customHeight="1" x14ac:dyDescent="0.35">
      <c r="A188" s="22">
        <f>'Vektor S &amp; V'!J188</f>
        <v>124</v>
      </c>
      <c r="B188" s="8" t="str">
        <f>'Vektor S &amp; V'!B188</f>
        <v>Senior Financial Analyst</v>
      </c>
      <c r="C188" s="11" t="str">
        <f>'Data Mentah'!C188</f>
        <v>Master's</v>
      </c>
      <c r="D188" s="23">
        <f>'Data Mentah'!E188</f>
        <v>6</v>
      </c>
      <c r="E188" s="24">
        <f>'Data Mentah'!F188</f>
        <v>95000</v>
      </c>
      <c r="F188" s="27">
        <f>'Vektor S &amp; V'!I188</f>
        <v>3.0150888325608575E-3</v>
      </c>
      <c r="G188" s="11" t="str">
        <f>IF(F188&gt;='Asumsi &amp; Bobot'!$C$15,"Mendapat Bonus","Tidak Mendapat Bonus")</f>
        <v>Tidak Mendapat Bonus</v>
      </c>
      <c r="H188" s="27">
        <f t="shared" si="2"/>
        <v>0</v>
      </c>
      <c r="I188" s="24">
        <f>IF(G188="Mendapat Bonus",H188*'Asumsi &amp; Bobot'!$C$16,0)</f>
        <v>0</v>
      </c>
    </row>
    <row r="189" spans="1:9" ht="15" customHeight="1" x14ac:dyDescent="0.35">
      <c r="A189" s="18">
        <f>'Vektor S &amp; V'!J189</f>
        <v>258</v>
      </c>
      <c r="B189" s="17" t="str">
        <f>'Vektor S &amp; V'!B189</f>
        <v>Senior Quality Assurance Analyst</v>
      </c>
      <c r="C189" s="14" t="str">
        <f>'Data Mentah'!C189</f>
        <v>Bachelor's</v>
      </c>
      <c r="D189" s="19">
        <f>'Data Mentah'!E189</f>
        <v>9</v>
      </c>
      <c r="E189" s="20">
        <f>'Data Mentah'!F189</f>
        <v>100000</v>
      </c>
      <c r="F189" s="26">
        <f>'Vektor S &amp; V'!I189</f>
        <v>1.8269475167907189E-3</v>
      </c>
      <c r="G189" s="14" t="str">
        <f>IF(F189&gt;='Asumsi &amp; Bobot'!$C$15,"Mendapat Bonus","Tidak Mendapat Bonus")</f>
        <v>Tidak Mendapat Bonus</v>
      </c>
      <c r="H189" s="26">
        <f t="shared" si="2"/>
        <v>0</v>
      </c>
      <c r="I189" s="20">
        <f>IF(G189="Mendapat Bonus",H189*'Asumsi &amp; Bobot'!$C$16,0)</f>
        <v>0</v>
      </c>
    </row>
    <row r="190" spans="1:9" ht="15" customHeight="1" x14ac:dyDescent="0.35">
      <c r="A190" s="22">
        <f>'Vektor S &amp; V'!J190</f>
        <v>2</v>
      </c>
      <c r="B190" s="8" t="str">
        <f>'Vektor S &amp; V'!B190</f>
        <v>Director of Sales and Marketing</v>
      </c>
      <c r="C190" s="11" t="str">
        <f>'Data Mentah'!C190</f>
        <v>PhD</v>
      </c>
      <c r="D190" s="23">
        <f>'Data Mentah'!E190</f>
        <v>22</v>
      </c>
      <c r="E190" s="24">
        <f>'Data Mentah'!F190</f>
        <v>180000</v>
      </c>
      <c r="F190" s="27">
        <f>'Vektor S &amp; V'!I190</f>
        <v>5.4905999277726856E-3</v>
      </c>
      <c r="G190" s="11" t="str">
        <f>IF(F190&gt;='Asumsi &amp; Bobot'!$C$15,"Mendapat Bonus","Tidak Mendapat Bonus")</f>
        <v>Mendapat Bonus</v>
      </c>
      <c r="H190" s="27">
        <f t="shared" si="2"/>
        <v>1.6613111082149044E-2</v>
      </c>
      <c r="I190" s="24">
        <f>IF(G190="Mendapat Bonus",H190*'Asumsi &amp; Bobot'!$C$16,0)</f>
        <v>830.65555410745219</v>
      </c>
    </row>
    <row r="191" spans="1:9" ht="15" customHeight="1" x14ac:dyDescent="0.35">
      <c r="A191" s="18">
        <f>'Vektor S &amp; V'!J191</f>
        <v>360</v>
      </c>
      <c r="B191" s="17" t="str">
        <f>'Vektor S &amp; V'!B191</f>
        <v>Junior Operations Analyst</v>
      </c>
      <c r="C191" s="14" t="str">
        <f>'Data Mentah'!C191</f>
        <v>Bachelor's</v>
      </c>
      <c r="D191" s="19">
        <f>'Data Mentah'!E191</f>
        <v>1.5</v>
      </c>
      <c r="E191" s="20">
        <f>'Data Mentah'!F191</f>
        <v>35000</v>
      </c>
      <c r="F191" s="26">
        <f>'Vektor S &amp; V'!I191</f>
        <v>1.2862989346228216E-3</v>
      </c>
      <c r="G191" s="14" t="str">
        <f>IF(F191&gt;='Asumsi &amp; Bobot'!$C$15,"Mendapat Bonus","Tidak Mendapat Bonus")</f>
        <v>Tidak Mendapat Bonus</v>
      </c>
      <c r="H191" s="26">
        <f t="shared" si="2"/>
        <v>0</v>
      </c>
      <c r="I191" s="20">
        <f>IF(G191="Mendapat Bonus",H191*'Asumsi &amp; Bobot'!$C$16,0)</f>
        <v>0</v>
      </c>
    </row>
    <row r="192" spans="1:9" ht="15" customHeight="1" x14ac:dyDescent="0.35">
      <c r="A192" s="22">
        <f>'Vektor S &amp; V'!J192</f>
        <v>166</v>
      </c>
      <c r="B192" s="8" t="str">
        <f>'Vektor S &amp; V'!B192</f>
        <v>Senior Account Executive</v>
      </c>
      <c r="C192" s="11" t="str">
        <f>'Data Mentah'!C192</f>
        <v>Bachelor's</v>
      </c>
      <c r="D192" s="23">
        <f>'Data Mentah'!E192</f>
        <v>12</v>
      </c>
      <c r="E192" s="24">
        <f>'Data Mentah'!F192</f>
        <v>95000</v>
      </c>
      <c r="F192" s="27">
        <f>'Vektor S &amp; V'!I192</f>
        <v>2.4521771727547843E-3</v>
      </c>
      <c r="G192" s="11" t="str">
        <f>IF(F192&gt;='Asumsi &amp; Bobot'!$C$15,"Mendapat Bonus","Tidak Mendapat Bonus")</f>
        <v>Tidak Mendapat Bonus</v>
      </c>
      <c r="H192" s="27">
        <f t="shared" si="2"/>
        <v>0</v>
      </c>
      <c r="I192" s="24">
        <f>IF(G192="Mendapat Bonus",H192*'Asumsi &amp; Bobot'!$C$16,0)</f>
        <v>0</v>
      </c>
    </row>
    <row r="193" spans="1:9" ht="15" customHeight="1" x14ac:dyDescent="0.35">
      <c r="A193" s="18">
        <f>'Vektor S &amp; V'!J193</f>
        <v>91</v>
      </c>
      <c r="B193" s="17" t="str">
        <f>'Vektor S &amp; V'!B193</f>
        <v>Director of Business Development</v>
      </c>
      <c r="C193" s="14" t="str">
        <f>'Data Mentah'!C193</f>
        <v>Master's</v>
      </c>
      <c r="D193" s="19">
        <f>'Data Mentah'!E193</f>
        <v>19</v>
      </c>
      <c r="E193" s="20">
        <f>'Data Mentah'!F193</f>
        <v>170000</v>
      </c>
      <c r="F193" s="26">
        <f>'Vektor S &amp; V'!I193</f>
        <v>3.7918380737221153E-3</v>
      </c>
      <c r="G193" s="14" t="str">
        <f>IF(F193&gt;='Asumsi &amp; Bobot'!$C$15,"Mendapat Bonus","Tidak Mendapat Bonus")</f>
        <v>Tidak Mendapat Bonus</v>
      </c>
      <c r="H193" s="26">
        <f t="shared" si="2"/>
        <v>0</v>
      </c>
      <c r="I193" s="20">
        <f>IF(G193="Mendapat Bonus",H193*'Asumsi &amp; Bobot'!$C$16,0)</f>
        <v>0</v>
      </c>
    </row>
    <row r="194" spans="1:9" ht="15" customHeight="1" x14ac:dyDescent="0.35">
      <c r="A194" s="22">
        <f>'Vektor S &amp; V'!J194</f>
        <v>283</v>
      </c>
      <c r="B194" s="8" t="str">
        <f>'Vektor S &amp; V'!B194</f>
        <v>Junior Social Media Manager</v>
      </c>
      <c r="C194" s="11" t="str">
        <f>'Data Mentah'!C194</f>
        <v>Bachelor's</v>
      </c>
      <c r="D194" s="23">
        <f>'Data Mentah'!E194</f>
        <v>3</v>
      </c>
      <c r="E194" s="24">
        <f>'Data Mentah'!F194</f>
        <v>45000</v>
      </c>
      <c r="F194" s="27">
        <f>'Vektor S &amp; V'!I194</f>
        <v>1.6966743608285361E-3</v>
      </c>
      <c r="G194" s="11" t="str">
        <f>IF(F194&gt;='Asumsi &amp; Bobot'!$C$15,"Mendapat Bonus","Tidak Mendapat Bonus")</f>
        <v>Tidak Mendapat Bonus</v>
      </c>
      <c r="H194" s="27">
        <f t="shared" si="2"/>
        <v>0</v>
      </c>
      <c r="I194" s="24">
        <f>IF(G194="Mendapat Bonus",H194*'Asumsi &amp; Bobot'!$C$16,0)</f>
        <v>0</v>
      </c>
    </row>
    <row r="195" spans="1:9" ht="15" customHeight="1" x14ac:dyDescent="0.35">
      <c r="A195" s="18">
        <f>'Vektor S &amp; V'!J195</f>
        <v>276</v>
      </c>
      <c r="B195" s="17" t="str">
        <f>'Vektor S &amp; V'!B195</f>
        <v>Senior Product Manager</v>
      </c>
      <c r="C195" s="14" t="str">
        <f>'Data Mentah'!C195</f>
        <v>Bachelor's</v>
      </c>
      <c r="D195" s="19">
        <f>'Data Mentah'!E195</f>
        <v>7</v>
      </c>
      <c r="E195" s="20">
        <f>'Data Mentah'!F195</f>
        <v>95000</v>
      </c>
      <c r="F195" s="26">
        <f>'Vektor S &amp; V'!I195</f>
        <v>1.7262496945622185E-3</v>
      </c>
      <c r="G195" s="14" t="str">
        <f>IF(F195&gt;='Asumsi &amp; Bobot'!$C$15,"Mendapat Bonus","Tidak Mendapat Bonus")</f>
        <v>Tidak Mendapat Bonus</v>
      </c>
      <c r="H195" s="26">
        <f t="shared" ref="H195:H258" si="3">IF(G195="Mendapat Bonus",F195/(SUMIF($G$3:$G$375,"Mendapat Bonus",$F$3:$F$375)),0)</f>
        <v>0</v>
      </c>
      <c r="I195" s="20">
        <f>IF(G195="Mendapat Bonus",H195*'Asumsi &amp; Bobot'!$C$16,0)</f>
        <v>0</v>
      </c>
    </row>
    <row r="196" spans="1:9" ht="15" customHeight="1" x14ac:dyDescent="0.35">
      <c r="A196" s="22">
        <f>'Vektor S &amp; V'!J196</f>
        <v>82</v>
      </c>
      <c r="B196" s="8" t="str">
        <f>'Vektor S &amp; V'!B196</f>
        <v>Senior Human Resources Specialist</v>
      </c>
      <c r="C196" s="11" t="str">
        <f>'Data Mentah'!C196</f>
        <v>Master's</v>
      </c>
      <c r="D196" s="23">
        <f>'Data Mentah'!E196</f>
        <v>13</v>
      </c>
      <c r="E196" s="24">
        <f>'Data Mentah'!F196</f>
        <v>120000</v>
      </c>
      <c r="F196" s="27">
        <f>'Vektor S &amp; V'!I196</f>
        <v>3.8911514226011735E-3</v>
      </c>
      <c r="G196" s="11" t="str">
        <f>IF(F196&gt;='Asumsi &amp; Bobot'!$C$15,"Mendapat Bonus","Tidak Mendapat Bonus")</f>
        <v>Tidak Mendapat Bonus</v>
      </c>
      <c r="H196" s="27">
        <f t="shared" si="3"/>
        <v>0</v>
      </c>
      <c r="I196" s="24">
        <f>IF(G196="Mendapat Bonus",H196*'Asumsi &amp; Bobot'!$C$16,0)</f>
        <v>0</v>
      </c>
    </row>
    <row r="197" spans="1:9" ht="15" customHeight="1" x14ac:dyDescent="0.35">
      <c r="A197" s="18">
        <f>'Vektor S &amp; V'!J197</f>
        <v>347</v>
      </c>
      <c r="B197" s="17" t="str">
        <f>'Vektor S &amp; V'!B197</f>
        <v>Junior Business Analyst</v>
      </c>
      <c r="C197" s="14" t="str">
        <f>'Data Mentah'!C197</f>
        <v>Bachelor's</v>
      </c>
      <c r="D197" s="19">
        <f>'Data Mentah'!E197</f>
        <v>2</v>
      </c>
      <c r="E197" s="20">
        <f>'Data Mentah'!F197</f>
        <v>40000</v>
      </c>
      <c r="F197" s="26">
        <f>'Vektor S &amp; V'!I197</f>
        <v>1.3209316495539497E-3</v>
      </c>
      <c r="G197" s="14" t="str">
        <f>IF(F197&gt;='Asumsi &amp; Bobot'!$C$15,"Mendapat Bonus","Tidak Mendapat Bonus")</f>
        <v>Tidak Mendapat Bonus</v>
      </c>
      <c r="H197" s="26">
        <f t="shared" si="3"/>
        <v>0</v>
      </c>
      <c r="I197" s="20">
        <f>IF(G197="Mendapat Bonus",H197*'Asumsi &amp; Bobot'!$C$16,0)</f>
        <v>0</v>
      </c>
    </row>
    <row r="198" spans="1:9" ht="15" customHeight="1" x14ac:dyDescent="0.35">
      <c r="A198" s="22">
        <f>'Vektor S &amp; V'!J198</f>
        <v>165</v>
      </c>
      <c r="B198" s="8" t="str">
        <f>'Vektor S &amp; V'!B198</f>
        <v>Senior Marketing Coordinator</v>
      </c>
      <c r="C198" s="11" t="str">
        <f>'Data Mentah'!C198</f>
        <v>Bachelor's</v>
      </c>
      <c r="D198" s="23">
        <f>'Data Mentah'!E198</f>
        <v>11</v>
      </c>
      <c r="E198" s="24">
        <f>'Data Mentah'!F198</f>
        <v>90000</v>
      </c>
      <c r="F198" s="27">
        <f>'Vektor S &amp; V'!I198</f>
        <v>2.4568251888633505E-3</v>
      </c>
      <c r="G198" s="11" t="str">
        <f>IF(F198&gt;='Asumsi &amp; Bobot'!$C$15,"Mendapat Bonus","Tidak Mendapat Bonus")</f>
        <v>Tidak Mendapat Bonus</v>
      </c>
      <c r="H198" s="27">
        <f t="shared" si="3"/>
        <v>0</v>
      </c>
      <c r="I198" s="24">
        <f>IF(G198="Mendapat Bonus",H198*'Asumsi &amp; Bobot'!$C$16,0)</f>
        <v>0</v>
      </c>
    </row>
    <row r="199" spans="1:9" ht="15" customHeight="1" x14ac:dyDescent="0.35">
      <c r="A199" s="18">
        <f>'Vektor S &amp; V'!J199</f>
        <v>54</v>
      </c>
      <c r="B199" s="17" t="str">
        <f>'Vektor S &amp; V'!B199</f>
        <v>Senior Data Analyst</v>
      </c>
      <c r="C199" s="14" t="str">
        <f>'Data Mentah'!C199</f>
        <v>PhD</v>
      </c>
      <c r="D199" s="19">
        <f>'Data Mentah'!E199</f>
        <v>17</v>
      </c>
      <c r="E199" s="20">
        <f>'Data Mentah'!F199</f>
        <v>155000</v>
      </c>
      <c r="F199" s="26">
        <f>'Vektor S &amp; V'!I199</f>
        <v>4.28664548011699E-3</v>
      </c>
      <c r="G199" s="14" t="str">
        <f>IF(F199&gt;='Asumsi &amp; Bobot'!$C$15,"Mendapat Bonus","Tidak Mendapat Bonus")</f>
        <v>Mendapat Bonus</v>
      </c>
      <c r="H199" s="26">
        <f t="shared" si="3"/>
        <v>1.2970261623098176E-2</v>
      </c>
      <c r="I199" s="20">
        <f>IF(G199="Mendapat Bonus",H199*'Asumsi &amp; Bobot'!$C$16,0)</f>
        <v>648.51308115490883</v>
      </c>
    </row>
    <row r="200" spans="1:9" ht="15" customHeight="1" x14ac:dyDescent="0.35">
      <c r="A200" s="22">
        <f>'Vektor S &amp; V'!J200</f>
        <v>236</v>
      </c>
      <c r="B200" s="8" t="str">
        <f>'Vektor S &amp; V'!B200</f>
        <v>Junior Account Manager</v>
      </c>
      <c r="C200" s="11" t="str">
        <f>'Data Mentah'!C200</f>
        <v>Bachelor's</v>
      </c>
      <c r="D200" s="23">
        <f>'Data Mentah'!E200</f>
        <v>5</v>
      </c>
      <c r="E200" s="24">
        <f>'Data Mentah'!F200</f>
        <v>55000</v>
      </c>
      <c r="F200" s="27">
        <f>'Vektor S &amp; V'!I200</f>
        <v>1.9076784359520701E-3</v>
      </c>
      <c r="G200" s="11" t="str">
        <f>IF(F200&gt;='Asumsi &amp; Bobot'!$C$15,"Mendapat Bonus","Tidak Mendapat Bonus")</f>
        <v>Tidak Mendapat Bonus</v>
      </c>
      <c r="H200" s="27">
        <f t="shared" si="3"/>
        <v>0</v>
      </c>
      <c r="I200" s="24">
        <f>IF(G200="Mendapat Bonus",H200*'Asumsi &amp; Bobot'!$C$16,0)</f>
        <v>0</v>
      </c>
    </row>
    <row r="201" spans="1:9" ht="15" customHeight="1" x14ac:dyDescent="0.35">
      <c r="A201" s="18">
        <f>'Vektor S &amp; V'!J201</f>
        <v>133</v>
      </c>
      <c r="B201" s="17" t="str">
        <f>'Vektor S &amp; V'!B201</f>
        <v>Senior Software Developer</v>
      </c>
      <c r="C201" s="14" t="str">
        <f>'Data Mentah'!C201</f>
        <v>Master's</v>
      </c>
      <c r="D201" s="19">
        <f>'Data Mentah'!E201</f>
        <v>9</v>
      </c>
      <c r="E201" s="20">
        <f>'Data Mentah'!F201</f>
        <v>110000</v>
      </c>
      <c r="F201" s="26">
        <f>'Vektor S &amp; V'!I201</f>
        <v>2.888271327767691E-3</v>
      </c>
      <c r="G201" s="14" t="str">
        <f>IF(F201&gt;='Asumsi &amp; Bobot'!$C$15,"Mendapat Bonus","Tidak Mendapat Bonus")</f>
        <v>Tidak Mendapat Bonus</v>
      </c>
      <c r="H201" s="26">
        <f t="shared" si="3"/>
        <v>0</v>
      </c>
      <c r="I201" s="20">
        <f>IF(G201="Mendapat Bonus",H201*'Asumsi &amp; Bobot'!$C$16,0)</f>
        <v>0</v>
      </c>
    </row>
    <row r="202" spans="1:9" ht="15" customHeight="1" x14ac:dyDescent="0.35">
      <c r="A202" s="22">
        <f>'Vektor S &amp; V'!J202</f>
        <v>34</v>
      </c>
      <c r="B202" s="8" t="str">
        <f>'Vektor S &amp; V'!B202</f>
        <v>Director of Human Capital</v>
      </c>
      <c r="C202" s="11" t="str">
        <f>'Data Mentah'!C202</f>
        <v>Master's</v>
      </c>
      <c r="D202" s="23">
        <f>'Data Mentah'!E202</f>
        <v>21</v>
      </c>
      <c r="E202" s="24">
        <f>'Data Mentah'!F202</f>
        <v>180000</v>
      </c>
      <c r="F202" s="27">
        <f>'Vektor S &amp; V'!I202</f>
        <v>4.5867782375594874E-3</v>
      </c>
      <c r="G202" s="11" t="str">
        <f>IF(F202&gt;='Asumsi &amp; Bobot'!$C$15,"Mendapat Bonus","Tidak Mendapat Bonus")</f>
        <v>Mendapat Bonus</v>
      </c>
      <c r="H202" s="27">
        <f t="shared" si="3"/>
        <v>1.3878384397362404E-2</v>
      </c>
      <c r="I202" s="24">
        <f>IF(G202="Mendapat Bonus",H202*'Asumsi &amp; Bobot'!$C$16,0)</f>
        <v>693.91921986812019</v>
      </c>
    </row>
    <row r="203" spans="1:9" ht="15" customHeight="1" x14ac:dyDescent="0.35">
      <c r="A203" s="18">
        <f>'Vektor S &amp; V'!J203</f>
        <v>336</v>
      </c>
      <c r="B203" s="17" t="str">
        <f>'Vektor S &amp; V'!B203</f>
        <v>Junior Advertising Coordinator</v>
      </c>
      <c r="C203" s="14" t="str">
        <f>'Data Mentah'!C203</f>
        <v>Bachelor's</v>
      </c>
      <c r="D203" s="19">
        <f>'Data Mentah'!E203</f>
        <v>3</v>
      </c>
      <c r="E203" s="20">
        <f>'Data Mentah'!F203</f>
        <v>45000</v>
      </c>
      <c r="F203" s="26">
        <f>'Vektor S &amp; V'!I203</f>
        <v>1.4552306405269623E-3</v>
      </c>
      <c r="G203" s="14" t="str">
        <f>IF(F203&gt;='Asumsi &amp; Bobot'!$C$15,"Mendapat Bonus","Tidak Mendapat Bonus")</f>
        <v>Tidak Mendapat Bonus</v>
      </c>
      <c r="H203" s="26">
        <f t="shared" si="3"/>
        <v>0</v>
      </c>
      <c r="I203" s="20">
        <f>IF(G203="Mendapat Bonus",H203*'Asumsi &amp; Bobot'!$C$16,0)</f>
        <v>0</v>
      </c>
    </row>
    <row r="204" spans="1:9" ht="15" customHeight="1" x14ac:dyDescent="0.35">
      <c r="A204" s="22">
        <f>'Vektor S &amp; V'!J204</f>
        <v>178</v>
      </c>
      <c r="B204" s="8" t="str">
        <f>'Vektor S &amp; V'!B204</f>
        <v>Senior Sales Manager</v>
      </c>
      <c r="C204" s="11" t="str">
        <f>'Data Mentah'!C204</f>
        <v>Bachelor's</v>
      </c>
      <c r="D204" s="23">
        <f>'Data Mentah'!E204</f>
        <v>16</v>
      </c>
      <c r="E204" s="24">
        <f>'Data Mentah'!F204</f>
        <v>130000</v>
      </c>
      <c r="F204" s="27">
        <f>'Vektor S &amp; V'!I204</f>
        <v>2.3066315579560472E-3</v>
      </c>
      <c r="G204" s="11" t="str">
        <f>IF(F204&gt;='Asumsi &amp; Bobot'!$C$15,"Mendapat Bonus","Tidak Mendapat Bonus")</f>
        <v>Tidak Mendapat Bonus</v>
      </c>
      <c r="H204" s="27">
        <f t="shared" si="3"/>
        <v>0</v>
      </c>
      <c r="I204" s="24">
        <f>IF(G204="Mendapat Bonus",H204*'Asumsi &amp; Bobot'!$C$16,0)</f>
        <v>0</v>
      </c>
    </row>
    <row r="205" spans="1:9" ht="15" customHeight="1" x14ac:dyDescent="0.35">
      <c r="A205" s="18">
        <f>'Vektor S &amp; V'!J205</f>
        <v>189</v>
      </c>
      <c r="B205" s="17" t="str">
        <f>'Vektor S &amp; V'!B205</f>
        <v>Junior UX Designer</v>
      </c>
      <c r="C205" s="14" t="str">
        <f>'Data Mentah'!C205</f>
        <v>Master's</v>
      </c>
      <c r="D205" s="19">
        <f>'Data Mentah'!E205</f>
        <v>1.5</v>
      </c>
      <c r="E205" s="20">
        <f>'Data Mentah'!F205</f>
        <v>45000</v>
      </c>
      <c r="F205" s="26">
        <f>'Vektor S &amp; V'!I205</f>
        <v>2.2580135321631006E-3</v>
      </c>
      <c r="G205" s="14" t="str">
        <f>IF(F205&gt;='Asumsi &amp; Bobot'!$C$15,"Mendapat Bonus","Tidak Mendapat Bonus")</f>
        <v>Tidak Mendapat Bonus</v>
      </c>
      <c r="H205" s="26">
        <f t="shared" si="3"/>
        <v>0</v>
      </c>
      <c r="I205" s="20">
        <f>IF(G205="Mendapat Bonus",H205*'Asumsi &amp; Bobot'!$C$16,0)</f>
        <v>0</v>
      </c>
    </row>
    <row r="206" spans="1:9" ht="15" customHeight="1" x14ac:dyDescent="0.35">
      <c r="A206" s="22">
        <f>'Vektor S &amp; V'!J206</f>
        <v>264</v>
      </c>
      <c r="B206" s="8" t="str">
        <f>'Vektor S &amp; V'!B206</f>
        <v>Senior Accountant</v>
      </c>
      <c r="C206" s="11" t="str">
        <f>'Data Mentah'!C206</f>
        <v>Bachelor's</v>
      </c>
      <c r="D206" s="23">
        <f>'Data Mentah'!E206</f>
        <v>7</v>
      </c>
      <c r="E206" s="24">
        <f>'Data Mentah'!F206</f>
        <v>90000</v>
      </c>
      <c r="F206" s="27">
        <f>'Vektor S &amp; V'!I206</f>
        <v>1.7818226406592405E-3</v>
      </c>
      <c r="G206" s="11" t="str">
        <f>IF(F206&gt;='Asumsi &amp; Bobot'!$C$15,"Mendapat Bonus","Tidak Mendapat Bonus")</f>
        <v>Tidak Mendapat Bonus</v>
      </c>
      <c r="H206" s="27">
        <f t="shared" si="3"/>
        <v>0</v>
      </c>
      <c r="I206" s="24">
        <f>IF(G206="Mendapat Bonus",H206*'Asumsi &amp; Bobot'!$C$16,0)</f>
        <v>0</v>
      </c>
    </row>
    <row r="207" spans="1:9" ht="15" customHeight="1" x14ac:dyDescent="0.35">
      <c r="A207" s="18">
        <f>'Vektor S &amp; V'!J207</f>
        <v>18</v>
      </c>
      <c r="B207" s="17" t="str">
        <f>'Vektor S &amp; V'!B207</f>
        <v>Senior Marketing Director</v>
      </c>
      <c r="C207" s="14" t="str">
        <f>'Data Mentah'!C207</f>
        <v>PhD</v>
      </c>
      <c r="D207" s="19">
        <f>'Data Mentah'!E207</f>
        <v>17</v>
      </c>
      <c r="E207" s="20">
        <f>'Data Mentah'!F207</f>
        <v>160000</v>
      </c>
      <c r="F207" s="26">
        <f>'Vektor S &amp; V'!I207</f>
        <v>4.8116214166445863E-3</v>
      </c>
      <c r="G207" s="14" t="str">
        <f>IF(F207&gt;='Asumsi &amp; Bobot'!$C$15,"Mendapat Bonus","Tidak Mendapat Bonus")</f>
        <v>Mendapat Bonus</v>
      </c>
      <c r="H207" s="26">
        <f t="shared" si="3"/>
        <v>1.4558700712399323E-2</v>
      </c>
      <c r="I207" s="20">
        <f>IF(G207="Mendapat Bonus",H207*'Asumsi &amp; Bobot'!$C$16,0)</f>
        <v>727.93503561996613</v>
      </c>
    </row>
    <row r="208" spans="1:9" ht="15" customHeight="1" x14ac:dyDescent="0.35">
      <c r="A208" s="22">
        <f>'Vektor S &amp; V'!J208</f>
        <v>318</v>
      </c>
      <c r="B208" s="8" t="str">
        <f>'Vektor S &amp; V'!B208</f>
        <v>Junior HR Generalist</v>
      </c>
      <c r="C208" s="11" t="str">
        <f>'Data Mentah'!C208</f>
        <v>Bachelor's</v>
      </c>
      <c r="D208" s="23">
        <f>'Data Mentah'!E208</f>
        <v>4</v>
      </c>
      <c r="E208" s="24">
        <f>'Data Mentah'!F208</f>
        <v>50000</v>
      </c>
      <c r="F208" s="27">
        <f>'Vektor S &amp; V'!I208</f>
        <v>1.5495177139507673E-3</v>
      </c>
      <c r="G208" s="11" t="str">
        <f>IF(F208&gt;='Asumsi &amp; Bobot'!$C$15,"Mendapat Bonus","Tidak Mendapat Bonus")</f>
        <v>Tidak Mendapat Bonus</v>
      </c>
      <c r="H208" s="27">
        <f t="shared" si="3"/>
        <v>0</v>
      </c>
      <c r="I208" s="24">
        <f>IF(G208="Mendapat Bonus",H208*'Asumsi &amp; Bobot'!$C$16,0)</f>
        <v>0</v>
      </c>
    </row>
    <row r="209" spans="1:9" ht="15" customHeight="1" x14ac:dyDescent="0.35">
      <c r="A209" s="18">
        <f>'Vektor S &amp; V'!J209</f>
        <v>181</v>
      </c>
      <c r="B209" s="17" t="str">
        <f>'Vektor S &amp; V'!B209</f>
        <v>Senior Operations Manager</v>
      </c>
      <c r="C209" s="14" t="str">
        <f>'Data Mentah'!C209</f>
        <v>Bachelor's</v>
      </c>
      <c r="D209" s="19">
        <f>'Data Mentah'!E209</f>
        <v>10</v>
      </c>
      <c r="E209" s="20">
        <f>'Data Mentah'!F209</f>
        <v>120000</v>
      </c>
      <c r="F209" s="26">
        <f>'Vektor S &amp; V'!I209</f>
        <v>2.2789644190737172E-3</v>
      </c>
      <c r="G209" s="14" t="str">
        <f>IF(F209&gt;='Asumsi &amp; Bobot'!$C$15,"Mendapat Bonus","Tidak Mendapat Bonus")</f>
        <v>Tidak Mendapat Bonus</v>
      </c>
      <c r="H209" s="26">
        <f t="shared" si="3"/>
        <v>0</v>
      </c>
      <c r="I209" s="20">
        <f>IF(G209="Mendapat Bonus",H209*'Asumsi &amp; Bobot'!$C$16,0)</f>
        <v>0</v>
      </c>
    </row>
    <row r="210" spans="1:9" ht="15" customHeight="1" x14ac:dyDescent="0.35">
      <c r="A210" s="22">
        <f>'Vektor S &amp; V'!J210</f>
        <v>85</v>
      </c>
      <c r="B210" s="8" t="str">
        <f>'Vektor S &amp; V'!B210</f>
        <v>Director of Finance</v>
      </c>
      <c r="C210" s="11" t="str">
        <f>'Data Mentah'!C210</f>
        <v>Master's</v>
      </c>
      <c r="D210" s="23">
        <f>'Data Mentah'!E210</f>
        <v>20</v>
      </c>
      <c r="E210" s="24">
        <f>'Data Mentah'!F210</f>
        <v>170000</v>
      </c>
      <c r="F210" s="27">
        <f>'Vektor S &amp; V'!I210</f>
        <v>3.8490100602902055E-3</v>
      </c>
      <c r="G210" s="11" t="str">
        <f>IF(F210&gt;='Asumsi &amp; Bobot'!$C$15,"Mendapat Bonus","Tidak Mendapat Bonus")</f>
        <v>Tidak Mendapat Bonus</v>
      </c>
      <c r="H210" s="27">
        <f t="shared" si="3"/>
        <v>0</v>
      </c>
      <c r="I210" s="24">
        <f>IF(G210="Mendapat Bonus",H210*'Asumsi &amp; Bobot'!$C$16,0)</f>
        <v>0</v>
      </c>
    </row>
    <row r="211" spans="1:9" ht="15" customHeight="1" x14ac:dyDescent="0.35">
      <c r="A211" s="18">
        <f>'Vektor S &amp; V'!J211</f>
        <v>297</v>
      </c>
      <c r="B211" s="17" t="str">
        <f>'Vektor S &amp; V'!B211</f>
        <v>Junior Marketing Coordinator</v>
      </c>
      <c r="C211" s="14" t="str">
        <f>'Data Mentah'!C211</f>
        <v>Bachelor's</v>
      </c>
      <c r="D211" s="19">
        <f>'Data Mentah'!E211</f>
        <v>2</v>
      </c>
      <c r="E211" s="20">
        <f>'Data Mentah'!F211</f>
        <v>40000</v>
      </c>
      <c r="F211" s="26">
        <f>'Vektor S &amp; V'!I211</f>
        <v>1.6077975025042726E-3</v>
      </c>
      <c r="G211" s="14" t="str">
        <f>IF(F211&gt;='Asumsi &amp; Bobot'!$C$15,"Mendapat Bonus","Tidak Mendapat Bonus")</f>
        <v>Tidak Mendapat Bonus</v>
      </c>
      <c r="H211" s="26">
        <f t="shared" si="3"/>
        <v>0</v>
      </c>
      <c r="I211" s="20">
        <f>IF(G211="Mendapat Bonus",H211*'Asumsi &amp; Bobot'!$C$16,0)</f>
        <v>0</v>
      </c>
    </row>
    <row r="212" spans="1:9" ht="15" customHeight="1" x14ac:dyDescent="0.35">
      <c r="A212" s="22">
        <f>'Vektor S &amp; V'!J212</f>
        <v>126</v>
      </c>
      <c r="B212" s="8" t="str">
        <f>'Vektor S &amp; V'!B212</f>
        <v>Senior IT Consultant</v>
      </c>
      <c r="C212" s="11" t="str">
        <f>'Data Mentah'!C212</f>
        <v>Master's</v>
      </c>
      <c r="D212" s="23">
        <f>'Data Mentah'!E212</f>
        <v>9</v>
      </c>
      <c r="E212" s="24">
        <f>'Data Mentah'!F212</f>
        <v>110000</v>
      </c>
      <c r="F212" s="27">
        <f>'Vektor S &amp; V'!I212</f>
        <v>2.9933600662490571E-3</v>
      </c>
      <c r="G212" s="11" t="str">
        <f>IF(F212&gt;='Asumsi &amp; Bobot'!$C$15,"Mendapat Bonus","Tidak Mendapat Bonus")</f>
        <v>Tidak Mendapat Bonus</v>
      </c>
      <c r="H212" s="27">
        <f t="shared" si="3"/>
        <v>0</v>
      </c>
      <c r="I212" s="24">
        <f>IF(G212="Mendapat Bonus",H212*'Asumsi &amp; Bobot'!$C$16,0)</f>
        <v>0</v>
      </c>
    </row>
    <row r="213" spans="1:9" ht="15" customHeight="1" x14ac:dyDescent="0.35">
      <c r="A213" s="18">
        <f>'Vektor S &amp; V'!J213</f>
        <v>15</v>
      </c>
      <c r="B213" s="17" t="str">
        <f>'Vektor S &amp; V'!B213</f>
        <v>Senior Product Designer</v>
      </c>
      <c r="C213" s="14" t="str">
        <f>'Data Mentah'!C213</f>
        <v>PhD</v>
      </c>
      <c r="D213" s="19">
        <f>'Data Mentah'!E213</f>
        <v>15</v>
      </c>
      <c r="E213" s="20">
        <f>'Data Mentah'!F213</f>
        <v>150000</v>
      </c>
      <c r="F213" s="26">
        <f>'Vektor S &amp; V'!I213</f>
        <v>4.8412832127227327E-3</v>
      </c>
      <c r="G213" s="14" t="str">
        <f>IF(F213&gt;='Asumsi &amp; Bobot'!$C$15,"Mendapat Bonus","Tidak Mendapat Bonus")</f>
        <v>Mendapat Bonus</v>
      </c>
      <c r="H213" s="26">
        <f t="shared" si="3"/>
        <v>1.4648449504812649E-2</v>
      </c>
      <c r="I213" s="20">
        <f>IF(G213="Mendapat Bonus",H213*'Asumsi &amp; Bobot'!$C$16,0)</f>
        <v>732.42247524063248</v>
      </c>
    </row>
    <row r="214" spans="1:9" ht="15" customHeight="1" x14ac:dyDescent="0.35">
      <c r="A214" s="22">
        <f>'Vektor S &amp; V'!J214</f>
        <v>347</v>
      </c>
      <c r="B214" s="8" t="str">
        <f>'Vektor S &amp; V'!B214</f>
        <v>Junior Business Development Associate</v>
      </c>
      <c r="C214" s="11" t="str">
        <f>'Data Mentah'!C214</f>
        <v>Bachelor's</v>
      </c>
      <c r="D214" s="23">
        <f>'Data Mentah'!E214</f>
        <v>2</v>
      </c>
      <c r="E214" s="24">
        <f>'Data Mentah'!F214</f>
        <v>40000</v>
      </c>
      <c r="F214" s="27">
        <f>'Vektor S &amp; V'!I214</f>
        <v>1.3209316495539497E-3</v>
      </c>
      <c r="G214" s="11" t="str">
        <f>IF(F214&gt;='Asumsi &amp; Bobot'!$C$15,"Mendapat Bonus","Tidak Mendapat Bonus")</f>
        <v>Tidak Mendapat Bonus</v>
      </c>
      <c r="H214" s="27">
        <f t="shared" si="3"/>
        <v>0</v>
      </c>
      <c r="I214" s="24">
        <f>IF(G214="Mendapat Bonus",H214*'Asumsi &amp; Bobot'!$C$16,0)</f>
        <v>0</v>
      </c>
    </row>
    <row r="215" spans="1:9" ht="15" customHeight="1" x14ac:dyDescent="0.35">
      <c r="A215" s="18">
        <f>'Vektor S &amp; V'!J215</f>
        <v>212</v>
      </c>
      <c r="B215" s="17" t="str">
        <f>'Vektor S &amp; V'!B215</f>
        <v>Senior Marketing Analyst</v>
      </c>
      <c r="C215" s="14" t="str">
        <f>'Data Mentah'!C215</f>
        <v>Bachelor's</v>
      </c>
      <c r="D215" s="19">
        <f>'Data Mentah'!E215</f>
        <v>8</v>
      </c>
      <c r="E215" s="20">
        <f>'Data Mentah'!F215</f>
        <v>85000</v>
      </c>
      <c r="F215" s="26">
        <f>'Vektor S &amp; V'!I215</f>
        <v>2.1313772502352703E-3</v>
      </c>
      <c r="G215" s="14" t="str">
        <f>IF(F215&gt;='Asumsi &amp; Bobot'!$C$15,"Mendapat Bonus","Tidak Mendapat Bonus")</f>
        <v>Tidak Mendapat Bonus</v>
      </c>
      <c r="H215" s="26">
        <f t="shared" si="3"/>
        <v>0</v>
      </c>
      <c r="I215" s="20">
        <f>IF(G215="Mendapat Bonus",H215*'Asumsi &amp; Bobot'!$C$16,0)</f>
        <v>0</v>
      </c>
    </row>
    <row r="216" spans="1:9" ht="15" customHeight="1" x14ac:dyDescent="0.35">
      <c r="A216" s="22">
        <f>'Vektor S &amp; V'!J216</f>
        <v>194</v>
      </c>
      <c r="B216" s="8" t="str">
        <f>'Vektor S &amp; V'!B216</f>
        <v>Senior Software Engineer</v>
      </c>
      <c r="C216" s="11" t="str">
        <f>'Data Mentah'!C216</f>
        <v>Bachelor's</v>
      </c>
      <c r="D216" s="23">
        <f>'Data Mentah'!E216</f>
        <v>14</v>
      </c>
      <c r="E216" s="24">
        <f>'Data Mentah'!F216</f>
        <v>130000</v>
      </c>
      <c r="F216" s="27">
        <f>'Vektor S &amp; V'!I216</f>
        <v>2.2216466035692808E-3</v>
      </c>
      <c r="G216" s="11" t="str">
        <f>IF(F216&gt;='Asumsi &amp; Bobot'!$C$15,"Mendapat Bonus","Tidak Mendapat Bonus")</f>
        <v>Tidak Mendapat Bonus</v>
      </c>
      <c r="H216" s="27">
        <f t="shared" si="3"/>
        <v>0</v>
      </c>
      <c r="I216" s="24">
        <f>IF(G216="Mendapat Bonus",H216*'Asumsi &amp; Bobot'!$C$16,0)</f>
        <v>0</v>
      </c>
    </row>
    <row r="217" spans="1:9" ht="15" customHeight="1" x14ac:dyDescent="0.35">
      <c r="A217" s="18">
        <f>'Vektor S &amp; V'!J217</f>
        <v>122</v>
      </c>
      <c r="B217" s="17" t="str">
        <f>'Vektor S &amp; V'!B217</f>
        <v>Senior Financial Advisor</v>
      </c>
      <c r="C217" s="14" t="str">
        <f>'Data Mentah'!C217</f>
        <v>Master's</v>
      </c>
      <c r="D217" s="19">
        <f>'Data Mentah'!E217</f>
        <v>6</v>
      </c>
      <c r="E217" s="20">
        <f>'Data Mentah'!F217</f>
        <v>100000</v>
      </c>
      <c r="F217" s="26">
        <f>'Vektor S &amp; V'!I217</f>
        <v>3.0427284645577917E-3</v>
      </c>
      <c r="G217" s="14" t="str">
        <f>IF(F217&gt;='Asumsi &amp; Bobot'!$C$15,"Mendapat Bonus","Tidak Mendapat Bonus")</f>
        <v>Tidak Mendapat Bonus</v>
      </c>
      <c r="H217" s="26">
        <f t="shared" si="3"/>
        <v>0</v>
      </c>
      <c r="I217" s="20">
        <f>IF(G217="Mendapat Bonus",H217*'Asumsi &amp; Bobot'!$C$16,0)</f>
        <v>0</v>
      </c>
    </row>
    <row r="218" spans="1:9" ht="15" customHeight="1" x14ac:dyDescent="0.35">
      <c r="A218" s="22">
        <f>'Vektor S &amp; V'!J218</f>
        <v>245</v>
      </c>
      <c r="B218" s="8" t="str">
        <f>'Vektor S &amp; V'!B218</f>
        <v>Senior Project Coordinator</v>
      </c>
      <c r="C218" s="11" t="str">
        <f>'Data Mentah'!C218</f>
        <v>Bachelor's</v>
      </c>
      <c r="D218" s="23">
        <f>'Data Mentah'!E218</f>
        <v>9</v>
      </c>
      <c r="E218" s="24">
        <f>'Data Mentah'!F218</f>
        <v>95000</v>
      </c>
      <c r="F218" s="27">
        <f>'Vektor S &amp; V'!I218</f>
        <v>1.8616693741305376E-3</v>
      </c>
      <c r="G218" s="11" t="str">
        <f>IF(F218&gt;='Asumsi &amp; Bobot'!$C$15,"Mendapat Bonus","Tidak Mendapat Bonus")</f>
        <v>Tidak Mendapat Bonus</v>
      </c>
      <c r="H218" s="27">
        <f t="shared" si="3"/>
        <v>0</v>
      </c>
      <c r="I218" s="24">
        <f>IF(G218="Mendapat Bonus",H218*'Asumsi &amp; Bobot'!$C$16,0)</f>
        <v>0</v>
      </c>
    </row>
    <row r="219" spans="1:9" ht="15" customHeight="1" x14ac:dyDescent="0.35">
      <c r="A219" s="18">
        <f>'Vektor S &amp; V'!J219</f>
        <v>2</v>
      </c>
      <c r="B219" s="17" t="str">
        <f>'Vektor S &amp; V'!B219</f>
        <v>Director of Operations</v>
      </c>
      <c r="C219" s="14" t="str">
        <f>'Data Mentah'!C219</f>
        <v>PhD</v>
      </c>
      <c r="D219" s="19">
        <f>'Data Mentah'!E219</f>
        <v>22</v>
      </c>
      <c r="E219" s="20">
        <f>'Data Mentah'!F219</f>
        <v>180000</v>
      </c>
      <c r="F219" s="26">
        <f>'Vektor S &amp; V'!I219</f>
        <v>5.4905999277726856E-3</v>
      </c>
      <c r="G219" s="14" t="str">
        <f>IF(F219&gt;='Asumsi &amp; Bobot'!$C$15,"Mendapat Bonus","Tidak Mendapat Bonus")</f>
        <v>Mendapat Bonus</v>
      </c>
      <c r="H219" s="26">
        <f t="shared" si="3"/>
        <v>1.6613111082149044E-2</v>
      </c>
      <c r="I219" s="20">
        <f>IF(G219="Mendapat Bonus",H219*'Asumsi &amp; Bobot'!$C$16,0)</f>
        <v>830.65555410745219</v>
      </c>
    </row>
    <row r="220" spans="1:9" ht="15" customHeight="1" x14ac:dyDescent="0.35">
      <c r="A220" s="22">
        <f>'Vektor S &amp; V'!J220</f>
        <v>355</v>
      </c>
      <c r="B220" s="8" t="str">
        <f>'Vektor S &amp; V'!B220</f>
        <v>Junior Business Operations Analyst</v>
      </c>
      <c r="C220" s="11" t="str">
        <f>'Data Mentah'!C220</f>
        <v>Bachelor's</v>
      </c>
      <c r="D220" s="23">
        <f>'Data Mentah'!E220</f>
        <v>1.5</v>
      </c>
      <c r="E220" s="24">
        <f>'Data Mentah'!F220</f>
        <v>35000</v>
      </c>
      <c r="F220" s="27">
        <f>'Vektor S &amp; V'!I220</f>
        <v>1.3157867673875851E-3</v>
      </c>
      <c r="G220" s="11" t="str">
        <f>IF(F220&gt;='Asumsi &amp; Bobot'!$C$15,"Mendapat Bonus","Tidak Mendapat Bonus")</f>
        <v>Tidak Mendapat Bonus</v>
      </c>
      <c r="H220" s="27">
        <f t="shared" si="3"/>
        <v>0</v>
      </c>
      <c r="I220" s="24">
        <f>IF(G220="Mendapat Bonus",H220*'Asumsi &amp; Bobot'!$C$16,0)</f>
        <v>0</v>
      </c>
    </row>
    <row r="221" spans="1:9" ht="15" customHeight="1" x14ac:dyDescent="0.35">
      <c r="A221" s="18">
        <f>'Vektor S &amp; V'!J221</f>
        <v>162</v>
      </c>
      <c r="B221" s="17" t="str">
        <f>'Vektor S &amp; V'!B221</f>
        <v>Senior Sales Representative</v>
      </c>
      <c r="C221" s="14" t="str">
        <f>'Data Mentah'!C221</f>
        <v>Bachelor's</v>
      </c>
      <c r="D221" s="19">
        <f>'Data Mentah'!E221</f>
        <v>12</v>
      </c>
      <c r="E221" s="20">
        <f>'Data Mentah'!F221</f>
        <v>100000</v>
      </c>
      <c r="F221" s="26">
        <f>'Vektor S &amp; V'!I221</f>
        <v>2.4638462646715516E-3</v>
      </c>
      <c r="G221" s="14" t="str">
        <f>IF(F221&gt;='Asumsi &amp; Bobot'!$C$15,"Mendapat Bonus","Tidak Mendapat Bonus")</f>
        <v>Tidak Mendapat Bonus</v>
      </c>
      <c r="H221" s="26">
        <f t="shared" si="3"/>
        <v>0</v>
      </c>
      <c r="I221" s="20">
        <f>IF(G221="Mendapat Bonus",H221*'Asumsi &amp; Bobot'!$C$16,0)</f>
        <v>0</v>
      </c>
    </row>
    <row r="222" spans="1:9" ht="15" customHeight="1" x14ac:dyDescent="0.35">
      <c r="A222" s="22">
        <f>'Vektor S &amp; V'!J222</f>
        <v>89</v>
      </c>
      <c r="B222" s="8" t="str">
        <f>'Vektor S &amp; V'!B222</f>
        <v>Director of Marketing</v>
      </c>
      <c r="C222" s="11" t="str">
        <f>'Data Mentah'!C222</f>
        <v>Master's</v>
      </c>
      <c r="D222" s="23">
        <f>'Data Mentah'!E222</f>
        <v>19</v>
      </c>
      <c r="E222" s="24">
        <f>'Data Mentah'!F222</f>
        <v>170000</v>
      </c>
      <c r="F222" s="27">
        <f>'Vektor S &amp; V'!I222</f>
        <v>3.8191858943695928E-3</v>
      </c>
      <c r="G222" s="11" t="str">
        <f>IF(F222&gt;='Asumsi &amp; Bobot'!$C$15,"Mendapat Bonus","Tidak Mendapat Bonus")</f>
        <v>Tidak Mendapat Bonus</v>
      </c>
      <c r="H222" s="27">
        <f t="shared" si="3"/>
        <v>0</v>
      </c>
      <c r="I222" s="24">
        <f>IF(G222="Mendapat Bonus",H222*'Asumsi &amp; Bobot'!$C$16,0)</f>
        <v>0</v>
      </c>
    </row>
    <row r="223" spans="1:9" ht="15" customHeight="1" x14ac:dyDescent="0.35">
      <c r="A223" s="18">
        <f>'Vektor S &amp; V'!J223</f>
        <v>275</v>
      </c>
      <c r="B223" s="17" t="str">
        <f>'Vektor S &amp; V'!B223</f>
        <v>Junior Social Media Specialist</v>
      </c>
      <c r="C223" s="14" t="str">
        <f>'Data Mentah'!C223</f>
        <v>Bachelor's</v>
      </c>
      <c r="D223" s="19">
        <f>'Data Mentah'!E223</f>
        <v>3</v>
      </c>
      <c r="E223" s="20">
        <f>'Data Mentah'!F223</f>
        <v>45000</v>
      </c>
      <c r="F223" s="26">
        <f>'Vektor S &amp; V'!I223</f>
        <v>1.7283111896646667E-3</v>
      </c>
      <c r="G223" s="14" t="str">
        <f>IF(F223&gt;='Asumsi &amp; Bobot'!$C$15,"Mendapat Bonus","Tidak Mendapat Bonus")</f>
        <v>Tidak Mendapat Bonus</v>
      </c>
      <c r="H223" s="26">
        <f t="shared" si="3"/>
        <v>0</v>
      </c>
      <c r="I223" s="20">
        <f>IF(G223="Mendapat Bonus",H223*'Asumsi &amp; Bobot'!$C$16,0)</f>
        <v>0</v>
      </c>
    </row>
    <row r="224" spans="1:9" ht="15" customHeight="1" x14ac:dyDescent="0.35">
      <c r="A224" s="22">
        <f>'Vektor S &amp; V'!J224</f>
        <v>285</v>
      </c>
      <c r="B224" s="8" t="str">
        <f>'Vektor S &amp; V'!B224</f>
        <v>Senior Product Development Manager</v>
      </c>
      <c r="C224" s="11" t="str">
        <f>'Data Mentah'!C224</f>
        <v>Bachelor's</v>
      </c>
      <c r="D224" s="23">
        <f>'Data Mentah'!E224</f>
        <v>7</v>
      </c>
      <c r="E224" s="24">
        <f>'Data Mentah'!F224</f>
        <v>100000</v>
      </c>
      <c r="F224" s="27">
        <f>'Vektor S &amp; V'!I224</f>
        <v>1.6924011595489486E-3</v>
      </c>
      <c r="G224" s="11" t="str">
        <f>IF(F224&gt;='Asumsi &amp; Bobot'!$C$15,"Mendapat Bonus","Tidak Mendapat Bonus")</f>
        <v>Tidak Mendapat Bonus</v>
      </c>
      <c r="H224" s="27">
        <f t="shared" si="3"/>
        <v>0</v>
      </c>
      <c r="I224" s="24">
        <f>IF(G224="Mendapat Bonus",H224*'Asumsi &amp; Bobot'!$C$16,0)</f>
        <v>0</v>
      </c>
    </row>
    <row r="225" spans="1:9" ht="15" customHeight="1" x14ac:dyDescent="0.35">
      <c r="A225" s="18">
        <f>'Vektor S &amp; V'!J225</f>
        <v>81</v>
      </c>
      <c r="B225" s="17" t="str">
        <f>'Vektor S &amp; V'!B225</f>
        <v>Senior Human Resources Manager</v>
      </c>
      <c r="C225" s="14" t="str">
        <f>'Data Mentah'!C225</f>
        <v>Master's</v>
      </c>
      <c r="D225" s="19">
        <f>'Data Mentah'!E225</f>
        <v>13</v>
      </c>
      <c r="E225" s="20">
        <f>'Data Mentah'!F225</f>
        <v>140000</v>
      </c>
      <c r="F225" s="26">
        <f>'Vektor S &amp; V'!I225</f>
        <v>3.898152939674143E-3</v>
      </c>
      <c r="G225" s="14" t="str">
        <f>IF(F225&gt;='Asumsi &amp; Bobot'!$C$15,"Mendapat Bonus","Tidak Mendapat Bonus")</f>
        <v>Tidak Mendapat Bonus</v>
      </c>
      <c r="H225" s="26">
        <f t="shared" si="3"/>
        <v>0</v>
      </c>
      <c r="I225" s="20">
        <f>IF(G225="Mendapat Bonus",H225*'Asumsi &amp; Bobot'!$C$16,0)</f>
        <v>0</v>
      </c>
    </row>
    <row r="226" spans="1:9" ht="15" customHeight="1" x14ac:dyDescent="0.35">
      <c r="A226" s="22">
        <f>'Vektor S &amp; V'!J226</f>
        <v>347</v>
      </c>
      <c r="B226" s="8" t="str">
        <f>'Vektor S &amp; V'!B226</f>
        <v>Junior Financial Analyst</v>
      </c>
      <c r="C226" s="11" t="str">
        <f>'Data Mentah'!C226</f>
        <v>Bachelor's</v>
      </c>
      <c r="D226" s="23">
        <f>'Data Mentah'!E226</f>
        <v>2</v>
      </c>
      <c r="E226" s="24">
        <f>'Data Mentah'!F226</f>
        <v>40000</v>
      </c>
      <c r="F226" s="27">
        <f>'Vektor S &amp; V'!I226</f>
        <v>1.3209316495539497E-3</v>
      </c>
      <c r="G226" s="11" t="str">
        <f>IF(F226&gt;='Asumsi &amp; Bobot'!$C$15,"Mendapat Bonus","Tidak Mendapat Bonus")</f>
        <v>Tidak Mendapat Bonus</v>
      </c>
      <c r="H226" s="27">
        <f t="shared" si="3"/>
        <v>0</v>
      </c>
      <c r="I226" s="24">
        <f>IF(G226="Mendapat Bonus",H226*'Asumsi &amp; Bobot'!$C$16,0)</f>
        <v>0</v>
      </c>
    </row>
    <row r="227" spans="1:9" ht="15" customHeight="1" x14ac:dyDescent="0.35">
      <c r="A227" s="18">
        <f>'Vektor S &amp; V'!J227</f>
        <v>173</v>
      </c>
      <c r="B227" s="17" t="str">
        <f>'Vektor S &amp; V'!B227</f>
        <v>Senior Marketing Manager</v>
      </c>
      <c r="C227" s="14" t="str">
        <f>'Data Mentah'!C227</f>
        <v>Bachelor's</v>
      </c>
      <c r="D227" s="19">
        <f>'Data Mentah'!E227</f>
        <v>11</v>
      </c>
      <c r="E227" s="20">
        <f>'Data Mentah'!F227</f>
        <v>105000</v>
      </c>
      <c r="F227" s="26">
        <f>'Vektor S &amp; V'!I227</f>
        <v>2.3946439861773439E-3</v>
      </c>
      <c r="G227" s="14" t="str">
        <f>IF(F227&gt;='Asumsi &amp; Bobot'!$C$15,"Mendapat Bonus","Tidak Mendapat Bonus")</f>
        <v>Tidak Mendapat Bonus</v>
      </c>
      <c r="H227" s="26">
        <f t="shared" si="3"/>
        <v>0</v>
      </c>
      <c r="I227" s="20">
        <f>IF(G227="Mendapat Bonus",H227*'Asumsi &amp; Bobot'!$C$16,0)</f>
        <v>0</v>
      </c>
    </row>
    <row r="228" spans="1:9" ht="15" customHeight="1" x14ac:dyDescent="0.35">
      <c r="A228" s="22">
        <f>'Vektor S &amp; V'!J228</f>
        <v>51</v>
      </c>
      <c r="B228" s="8" t="str">
        <f>'Vektor S &amp; V'!B228</f>
        <v>Senior Data Scientist</v>
      </c>
      <c r="C228" s="11" t="str">
        <f>'Data Mentah'!C228</f>
        <v>PhD</v>
      </c>
      <c r="D228" s="23">
        <f>'Data Mentah'!E228</f>
        <v>18</v>
      </c>
      <c r="E228" s="24">
        <f>'Data Mentah'!F228</f>
        <v>160000</v>
      </c>
      <c r="F228" s="27">
        <f>'Vektor S &amp; V'!I228</f>
        <v>4.3757725627059487E-3</v>
      </c>
      <c r="G228" s="11" t="str">
        <f>IF(F228&gt;='Asumsi &amp; Bobot'!$C$15,"Mendapat Bonus","Tidak Mendapat Bonus")</f>
        <v>Mendapat Bonus</v>
      </c>
      <c r="H228" s="27">
        <f t="shared" si="3"/>
        <v>1.3239936730182311E-2</v>
      </c>
      <c r="I228" s="24">
        <f>IF(G228="Mendapat Bonus",H228*'Asumsi &amp; Bobot'!$C$16,0)</f>
        <v>661.99683650911561</v>
      </c>
    </row>
    <row r="229" spans="1:9" ht="15" customHeight="1" x14ac:dyDescent="0.35">
      <c r="A229" s="18">
        <f>'Vektor S &amp; V'!J229</f>
        <v>238</v>
      </c>
      <c r="B229" s="17" t="str">
        <f>'Vektor S &amp; V'!B229</f>
        <v>Junior Operations Manager</v>
      </c>
      <c r="C229" s="14" t="str">
        <f>'Data Mentah'!C229</f>
        <v>Bachelor's</v>
      </c>
      <c r="D229" s="19">
        <f>'Data Mentah'!E229</f>
        <v>5</v>
      </c>
      <c r="E229" s="20">
        <f>'Data Mentah'!F229</f>
        <v>70000</v>
      </c>
      <c r="F229" s="26">
        <f>'Vektor S &amp; V'!I229</f>
        <v>1.8949222211847969E-3</v>
      </c>
      <c r="G229" s="14" t="str">
        <f>IF(F229&gt;='Asumsi &amp; Bobot'!$C$15,"Mendapat Bonus","Tidak Mendapat Bonus")</f>
        <v>Tidak Mendapat Bonus</v>
      </c>
      <c r="H229" s="26">
        <f t="shared" si="3"/>
        <v>0</v>
      </c>
      <c r="I229" s="20">
        <f>IF(G229="Mendapat Bonus",H229*'Asumsi &amp; Bobot'!$C$16,0)</f>
        <v>0</v>
      </c>
    </row>
    <row r="230" spans="1:9" ht="15" customHeight="1" x14ac:dyDescent="0.35">
      <c r="A230" s="22">
        <f>'Vektor S &amp; V'!J230</f>
        <v>132</v>
      </c>
      <c r="B230" s="8" t="str">
        <f>'Vektor S &amp; V'!B230</f>
        <v>Senior Software Architect</v>
      </c>
      <c r="C230" s="11" t="str">
        <f>'Data Mentah'!C230</f>
        <v>Master's</v>
      </c>
      <c r="D230" s="23">
        <f>'Data Mentah'!E230</f>
        <v>9</v>
      </c>
      <c r="E230" s="24">
        <f>'Data Mentah'!F230</f>
        <v>120000</v>
      </c>
      <c r="F230" s="27">
        <f>'Vektor S &amp; V'!I230</f>
        <v>2.9323693639441025E-3</v>
      </c>
      <c r="G230" s="11" t="str">
        <f>IF(F230&gt;='Asumsi &amp; Bobot'!$C$15,"Mendapat Bonus","Tidak Mendapat Bonus")</f>
        <v>Tidak Mendapat Bonus</v>
      </c>
      <c r="H230" s="27">
        <f t="shared" si="3"/>
        <v>0</v>
      </c>
      <c r="I230" s="24">
        <f>IF(G230="Mendapat Bonus",H230*'Asumsi &amp; Bobot'!$C$16,0)</f>
        <v>0</v>
      </c>
    </row>
    <row r="231" spans="1:9" ht="15" customHeight="1" x14ac:dyDescent="0.35">
      <c r="A231" s="18">
        <f>'Vektor S &amp; V'!J231</f>
        <v>32</v>
      </c>
      <c r="B231" s="17" t="str">
        <f>'Vektor S &amp; V'!B231</f>
        <v>Director of Human Resources</v>
      </c>
      <c r="C231" s="14" t="str">
        <f>'Data Mentah'!C231</f>
        <v>Master's</v>
      </c>
      <c r="D231" s="19">
        <f>'Data Mentah'!E231</f>
        <v>21</v>
      </c>
      <c r="E231" s="20">
        <f>'Data Mentah'!F231</f>
        <v>190000</v>
      </c>
      <c r="F231" s="26">
        <f>'Vektor S &amp; V'!I231</f>
        <v>4.6185948310588478E-3</v>
      </c>
      <c r="G231" s="14" t="str">
        <f>IF(F231&gt;='Asumsi &amp; Bobot'!$C$15,"Mendapat Bonus","Tidak Mendapat Bonus")</f>
        <v>Mendapat Bonus</v>
      </c>
      <c r="H231" s="26">
        <f t="shared" si="3"/>
        <v>1.3974653039954049E-2</v>
      </c>
      <c r="I231" s="20">
        <f>IF(G231="Mendapat Bonus",H231*'Asumsi &amp; Bobot'!$C$16,0)</f>
        <v>698.73265199770242</v>
      </c>
    </row>
    <row r="232" spans="1:9" ht="15" customHeight="1" x14ac:dyDescent="0.35">
      <c r="A232" s="22">
        <f>'Vektor S &amp; V'!J232</f>
        <v>336</v>
      </c>
      <c r="B232" s="8" t="str">
        <f>'Vektor S &amp; V'!B232</f>
        <v>Junior Marketing Specialist</v>
      </c>
      <c r="C232" s="11" t="str">
        <f>'Data Mentah'!C232</f>
        <v>Bachelor's</v>
      </c>
      <c r="D232" s="23">
        <f>'Data Mentah'!E232</f>
        <v>3</v>
      </c>
      <c r="E232" s="24">
        <f>'Data Mentah'!F232</f>
        <v>45000</v>
      </c>
      <c r="F232" s="27">
        <f>'Vektor S &amp; V'!I232</f>
        <v>1.4552306405269623E-3</v>
      </c>
      <c r="G232" s="11" t="str">
        <f>IF(F232&gt;='Asumsi &amp; Bobot'!$C$15,"Mendapat Bonus","Tidak Mendapat Bonus")</f>
        <v>Tidak Mendapat Bonus</v>
      </c>
      <c r="H232" s="27">
        <f t="shared" si="3"/>
        <v>0</v>
      </c>
      <c r="I232" s="24">
        <f>IF(G232="Mendapat Bonus",H232*'Asumsi &amp; Bobot'!$C$16,0)</f>
        <v>0</v>
      </c>
    </row>
    <row r="233" spans="1:9" ht="15" customHeight="1" x14ac:dyDescent="0.35">
      <c r="A233" s="18">
        <f>'Vektor S &amp; V'!J233</f>
        <v>187</v>
      </c>
      <c r="B233" s="17" t="str">
        <f>'Vektor S &amp; V'!B233</f>
        <v>Senior Project Manager</v>
      </c>
      <c r="C233" s="14" t="str">
        <f>'Data Mentah'!C233</f>
        <v>Bachelor's</v>
      </c>
      <c r="D233" s="19">
        <f>'Data Mentah'!E233</f>
        <v>15</v>
      </c>
      <c r="E233" s="20">
        <f>'Data Mentah'!F233</f>
        <v>120000</v>
      </c>
      <c r="F233" s="26">
        <f>'Vektor S &amp; V'!I233</f>
        <v>2.2657514577758839E-3</v>
      </c>
      <c r="G233" s="14" t="str">
        <f>IF(F233&gt;='Asumsi &amp; Bobot'!$C$15,"Mendapat Bonus","Tidak Mendapat Bonus")</f>
        <v>Tidak Mendapat Bonus</v>
      </c>
      <c r="H233" s="26">
        <f t="shared" si="3"/>
        <v>0</v>
      </c>
      <c r="I233" s="20">
        <f>IF(G233="Mendapat Bonus",H233*'Asumsi &amp; Bobot'!$C$16,0)</f>
        <v>0</v>
      </c>
    </row>
    <row r="234" spans="1:9" ht="15" customHeight="1" x14ac:dyDescent="0.35">
      <c r="A234" s="22">
        <f>'Vektor S &amp; V'!J234</f>
        <v>192</v>
      </c>
      <c r="B234" s="8" t="str">
        <f>'Vektor S &amp; V'!B234</f>
        <v>Junior Research Scientist</v>
      </c>
      <c r="C234" s="11" t="str">
        <f>'Data Mentah'!C234</f>
        <v>Master's</v>
      </c>
      <c r="D234" s="23">
        <f>'Data Mentah'!E234</f>
        <v>1.5</v>
      </c>
      <c r="E234" s="24">
        <f>'Data Mentah'!F234</f>
        <v>50000</v>
      </c>
      <c r="F234" s="27">
        <f>'Vektor S &amp; V'!I234</f>
        <v>2.2379943212734042E-3</v>
      </c>
      <c r="G234" s="11" t="str">
        <f>IF(F234&gt;='Asumsi &amp; Bobot'!$C$15,"Mendapat Bonus","Tidak Mendapat Bonus")</f>
        <v>Tidak Mendapat Bonus</v>
      </c>
      <c r="H234" s="27">
        <f t="shared" si="3"/>
        <v>0</v>
      </c>
      <c r="I234" s="24">
        <f>IF(G234="Mendapat Bonus",H234*'Asumsi &amp; Bobot'!$C$16,0)</f>
        <v>0</v>
      </c>
    </row>
    <row r="235" spans="1:9" ht="15" customHeight="1" x14ac:dyDescent="0.35">
      <c r="A235" s="18">
        <f>'Vektor S &amp; V'!J235</f>
        <v>257</v>
      </c>
      <c r="B235" s="17" t="str">
        <f>'Vektor S &amp; V'!B235</f>
        <v>Senior Operations Analyst</v>
      </c>
      <c r="C235" s="14" t="str">
        <f>'Data Mentah'!C235</f>
        <v>Bachelor's</v>
      </c>
      <c r="D235" s="19">
        <f>'Data Mentah'!E235</f>
        <v>8</v>
      </c>
      <c r="E235" s="20">
        <f>'Data Mentah'!F235</f>
        <v>85000</v>
      </c>
      <c r="F235" s="26">
        <f>'Vektor S &amp; V'!I235</f>
        <v>1.828073525876729E-3</v>
      </c>
      <c r="G235" s="14" t="str">
        <f>IF(F235&gt;='Asumsi &amp; Bobot'!$C$15,"Mendapat Bonus","Tidak Mendapat Bonus")</f>
        <v>Tidak Mendapat Bonus</v>
      </c>
      <c r="H235" s="26">
        <f t="shared" si="3"/>
        <v>0</v>
      </c>
      <c r="I235" s="20">
        <f>IF(G235="Mendapat Bonus",H235*'Asumsi &amp; Bobot'!$C$16,0)</f>
        <v>0</v>
      </c>
    </row>
    <row r="236" spans="1:9" ht="15" customHeight="1" x14ac:dyDescent="0.35">
      <c r="A236" s="22">
        <f>'Vektor S &amp; V'!J236</f>
        <v>38</v>
      </c>
      <c r="B236" s="8" t="str">
        <f>'Vektor S &amp; V'!B236</f>
        <v>Senior Marketing Manager</v>
      </c>
      <c r="C236" s="11" t="str">
        <f>'Data Mentah'!C236</f>
        <v>PhD</v>
      </c>
      <c r="D236" s="23">
        <f>'Data Mentah'!E236</f>
        <v>13</v>
      </c>
      <c r="E236" s="24">
        <f>'Data Mentah'!F236</f>
        <v>140000</v>
      </c>
      <c r="F236" s="27">
        <f>'Vektor S &amp; V'!I236</f>
        <v>4.5718870273050716E-3</v>
      </c>
      <c r="G236" s="11" t="str">
        <f>IF(F236&gt;='Asumsi &amp; Bobot'!$C$15,"Mendapat Bonus","Tidak Mendapat Bonus")</f>
        <v>Mendapat Bonus</v>
      </c>
      <c r="H236" s="27">
        <f t="shared" si="3"/>
        <v>1.383332751225721E-2</v>
      </c>
      <c r="I236" s="24">
        <f>IF(G236="Mendapat Bonus",H236*'Asumsi &amp; Bobot'!$C$16,0)</f>
        <v>691.66637561286052</v>
      </c>
    </row>
    <row r="237" spans="1:9" ht="15" customHeight="1" x14ac:dyDescent="0.35">
      <c r="A237" s="18">
        <f>'Vektor S &amp; V'!J237</f>
        <v>327</v>
      </c>
      <c r="B237" s="17" t="str">
        <f>'Vektor S &amp; V'!B237</f>
        <v>Junior Sales Representative</v>
      </c>
      <c r="C237" s="14" t="str">
        <f>'Data Mentah'!C237</f>
        <v>Bachelor's</v>
      </c>
      <c r="D237" s="19">
        <f>'Data Mentah'!E237</f>
        <v>3</v>
      </c>
      <c r="E237" s="20">
        <f>'Data Mentah'!F237</f>
        <v>45000</v>
      </c>
      <c r="F237" s="26">
        <f>'Vektor S &amp; V'!I237</f>
        <v>1.5076475852929081E-3</v>
      </c>
      <c r="G237" s="14" t="str">
        <f>IF(F237&gt;='Asumsi &amp; Bobot'!$C$15,"Mendapat Bonus","Tidak Mendapat Bonus")</f>
        <v>Tidak Mendapat Bonus</v>
      </c>
      <c r="H237" s="26">
        <f t="shared" si="3"/>
        <v>0</v>
      </c>
      <c r="I237" s="20">
        <f>IF(G237="Mendapat Bonus",H237*'Asumsi &amp; Bobot'!$C$16,0)</f>
        <v>0</v>
      </c>
    </row>
    <row r="238" spans="1:9" ht="15" customHeight="1" x14ac:dyDescent="0.35">
      <c r="A238" s="22">
        <f>'Vektor S &amp; V'!J238</f>
        <v>196</v>
      </c>
      <c r="B238" s="8" t="str">
        <f>'Vektor S &amp; V'!B238</f>
        <v>Senior Financial Analyst</v>
      </c>
      <c r="C238" s="11" t="str">
        <f>'Data Mentah'!C238</f>
        <v>Bachelor's</v>
      </c>
      <c r="D238" s="23">
        <f>'Data Mentah'!E238</f>
        <v>9</v>
      </c>
      <c r="E238" s="24">
        <f>'Data Mentah'!F238</f>
        <v>100000</v>
      </c>
      <c r="F238" s="27">
        <f>'Vektor S &amp; V'!I238</f>
        <v>2.2125837360482377E-3</v>
      </c>
      <c r="G238" s="11" t="str">
        <f>IF(F238&gt;='Asumsi &amp; Bobot'!$C$15,"Mendapat Bonus","Tidak Mendapat Bonus")</f>
        <v>Tidak Mendapat Bonus</v>
      </c>
      <c r="H238" s="27">
        <f t="shared" si="3"/>
        <v>0</v>
      </c>
      <c r="I238" s="24">
        <f>IF(G238="Mendapat Bonus",H238*'Asumsi &amp; Bobot'!$C$16,0)</f>
        <v>0</v>
      </c>
    </row>
    <row r="239" spans="1:9" ht="15" customHeight="1" x14ac:dyDescent="0.35">
      <c r="A239" s="18">
        <f>'Vektor S &amp; V'!J239</f>
        <v>106</v>
      </c>
      <c r="B239" s="17" t="str">
        <f>'Vektor S &amp; V'!B239</f>
        <v>Senior Software Developer</v>
      </c>
      <c r="C239" s="14" t="str">
        <f>'Data Mentah'!C239</f>
        <v>Master's</v>
      </c>
      <c r="D239" s="19">
        <f>'Data Mentah'!E239</f>
        <v>16</v>
      </c>
      <c r="E239" s="20">
        <f>'Data Mentah'!F239</f>
        <v>140000</v>
      </c>
      <c r="F239" s="26">
        <f>'Vektor S &amp; V'!I239</f>
        <v>3.6336192597845318E-3</v>
      </c>
      <c r="G239" s="14" t="str">
        <f>IF(F239&gt;='Asumsi &amp; Bobot'!$C$15,"Mendapat Bonus","Tidak Mendapat Bonus")</f>
        <v>Tidak Mendapat Bonus</v>
      </c>
      <c r="H239" s="26">
        <f t="shared" si="3"/>
        <v>0</v>
      </c>
      <c r="I239" s="20">
        <f>IF(G239="Mendapat Bonus",H239*'Asumsi &amp; Bobot'!$C$16,0)</f>
        <v>0</v>
      </c>
    </row>
    <row r="240" spans="1:9" ht="15" customHeight="1" x14ac:dyDescent="0.35">
      <c r="A240" s="22">
        <f>'Vektor S &amp; V'!J240</f>
        <v>238</v>
      </c>
      <c r="B240" s="8" t="str">
        <f>'Vektor S &amp; V'!B240</f>
        <v>Junior Operations Analyst</v>
      </c>
      <c r="C240" s="11" t="str">
        <f>'Data Mentah'!C240</f>
        <v>Bachelor's</v>
      </c>
      <c r="D240" s="23">
        <f>'Data Mentah'!E240</f>
        <v>5</v>
      </c>
      <c r="E240" s="24">
        <f>'Data Mentah'!F240</f>
        <v>70000</v>
      </c>
      <c r="F240" s="27">
        <f>'Vektor S &amp; V'!I240</f>
        <v>1.8949222211847969E-3</v>
      </c>
      <c r="G240" s="11" t="str">
        <f>IF(F240&gt;='Asumsi &amp; Bobot'!$C$15,"Mendapat Bonus","Tidak Mendapat Bonus")</f>
        <v>Tidak Mendapat Bonus</v>
      </c>
      <c r="H240" s="27">
        <f t="shared" si="3"/>
        <v>0</v>
      </c>
      <c r="I240" s="24">
        <f>IF(G240="Mendapat Bonus",H240*'Asumsi &amp; Bobot'!$C$16,0)</f>
        <v>0</v>
      </c>
    </row>
    <row r="241" spans="1:9" ht="15" customHeight="1" x14ac:dyDescent="0.35">
      <c r="A241" s="18">
        <f>'Vektor S &amp; V'!J241</f>
        <v>227</v>
      </c>
      <c r="B241" s="17" t="str">
        <f>'Vektor S &amp; V'!B241</f>
        <v>Senior Marketing Specialist</v>
      </c>
      <c r="C241" s="14" t="str">
        <f>'Data Mentah'!C241</f>
        <v>Bachelor's</v>
      </c>
      <c r="D241" s="19">
        <f>'Data Mentah'!E241</f>
        <v>10</v>
      </c>
      <c r="E241" s="20">
        <f>'Data Mentah'!F241</f>
        <v>120000</v>
      </c>
      <c r="F241" s="26">
        <f>'Vektor S &amp; V'!I241</f>
        <v>1.9546584352741069E-3</v>
      </c>
      <c r="G241" s="14" t="str">
        <f>IF(F241&gt;='Asumsi &amp; Bobot'!$C$15,"Mendapat Bonus","Tidak Mendapat Bonus")</f>
        <v>Tidak Mendapat Bonus</v>
      </c>
      <c r="H241" s="26">
        <f t="shared" si="3"/>
        <v>0</v>
      </c>
      <c r="I241" s="20">
        <f>IF(G241="Mendapat Bonus",H241*'Asumsi &amp; Bobot'!$C$16,0)</f>
        <v>0</v>
      </c>
    </row>
    <row r="242" spans="1:9" ht="15" customHeight="1" x14ac:dyDescent="0.35">
      <c r="A242" s="22">
        <f>'Vektor S &amp; V'!J242</f>
        <v>6</v>
      </c>
      <c r="B242" s="8" t="str">
        <f>'Vektor S &amp; V'!B242</f>
        <v>Senior HR Manager</v>
      </c>
      <c r="C242" s="11" t="str">
        <f>'Data Mentah'!C242</f>
        <v>PhD</v>
      </c>
      <c r="D242" s="23">
        <f>'Data Mentah'!E242</f>
        <v>18</v>
      </c>
      <c r="E242" s="24">
        <f>'Data Mentah'!F242</f>
        <v>160000</v>
      </c>
      <c r="F242" s="27">
        <f>'Vektor S &amp; V'!I242</f>
        <v>5.0218132847510292E-3</v>
      </c>
      <c r="G242" s="11" t="str">
        <f>IF(F242&gt;='Asumsi &amp; Bobot'!$C$15,"Mendapat Bonus","Tidak Mendapat Bonus")</f>
        <v>Mendapat Bonus</v>
      </c>
      <c r="H242" s="27">
        <f t="shared" si="3"/>
        <v>1.5194686014434121E-2</v>
      </c>
      <c r="I242" s="24">
        <f>IF(G242="Mendapat Bonus",H242*'Asumsi &amp; Bobot'!$C$16,0)</f>
        <v>759.73430072170606</v>
      </c>
    </row>
    <row r="243" spans="1:9" ht="15" customHeight="1" x14ac:dyDescent="0.35">
      <c r="A243" s="18">
        <f>'Vektor S &amp; V'!J243</f>
        <v>357</v>
      </c>
      <c r="B243" s="17" t="str">
        <f>'Vektor S &amp; V'!B243</f>
        <v>Junior Business Analyst</v>
      </c>
      <c r="C243" s="14" t="str">
        <f>'Data Mentah'!C243</f>
        <v>Bachelor's</v>
      </c>
      <c r="D243" s="19">
        <f>'Data Mentah'!E243</f>
        <v>1.5</v>
      </c>
      <c r="E243" s="20">
        <f>'Data Mentah'!F243</f>
        <v>40000</v>
      </c>
      <c r="F243" s="26">
        <f>'Vektor S &amp; V'!I243</f>
        <v>1.3023309903708842E-3</v>
      </c>
      <c r="G243" s="14" t="str">
        <f>IF(F243&gt;='Asumsi &amp; Bobot'!$C$15,"Mendapat Bonus","Tidak Mendapat Bonus")</f>
        <v>Tidak Mendapat Bonus</v>
      </c>
      <c r="H243" s="26">
        <f t="shared" si="3"/>
        <v>0</v>
      </c>
      <c r="I243" s="20">
        <f>IF(G243="Mendapat Bonus",H243*'Asumsi &amp; Bobot'!$C$16,0)</f>
        <v>0</v>
      </c>
    </row>
    <row r="244" spans="1:9" ht="15" customHeight="1" x14ac:dyDescent="0.35">
      <c r="A244" s="22">
        <f>'Vektor S &amp; V'!J244</f>
        <v>190</v>
      </c>
      <c r="B244" s="8" t="str">
        <f>'Vektor S &amp; V'!B244</f>
        <v>Senior Product Manager</v>
      </c>
      <c r="C244" s="11" t="str">
        <f>'Data Mentah'!C244</f>
        <v>Bachelor's</v>
      </c>
      <c r="D244" s="23">
        <f>'Data Mentah'!E244</f>
        <v>10</v>
      </c>
      <c r="E244" s="24">
        <f>'Data Mentah'!F244</f>
        <v>120000</v>
      </c>
      <c r="F244" s="27">
        <f>'Vektor S &amp; V'!I244</f>
        <v>2.2548854480239529E-3</v>
      </c>
      <c r="G244" s="11" t="str">
        <f>IF(F244&gt;='Asumsi &amp; Bobot'!$C$15,"Mendapat Bonus","Tidak Mendapat Bonus")</f>
        <v>Tidak Mendapat Bonus</v>
      </c>
      <c r="H244" s="27">
        <f t="shared" si="3"/>
        <v>0</v>
      </c>
      <c r="I244" s="24">
        <f>IF(G244="Mendapat Bonus",H244*'Asumsi &amp; Bobot'!$C$16,0)</f>
        <v>0</v>
      </c>
    </row>
    <row r="245" spans="1:9" ht="15" customHeight="1" x14ac:dyDescent="0.35">
      <c r="A245" s="18">
        <f>'Vektor S &amp; V'!J245</f>
        <v>47</v>
      </c>
      <c r="B245" s="17" t="str">
        <f>'Vektor S &amp; V'!B245</f>
        <v>Senior Data Analyst</v>
      </c>
      <c r="C245" s="14" t="str">
        <f>'Data Mentah'!C245</f>
        <v>PhD</v>
      </c>
      <c r="D245" s="19">
        <f>'Data Mentah'!E245</f>
        <v>19</v>
      </c>
      <c r="E245" s="20">
        <f>'Data Mentah'!F245</f>
        <v>150000</v>
      </c>
      <c r="F245" s="26">
        <f>'Vektor S &amp; V'!I245</f>
        <v>4.4774961260701839E-3</v>
      </c>
      <c r="G245" s="14" t="str">
        <f>IF(F245&gt;='Asumsi &amp; Bobot'!$C$15,"Mendapat Bonus","Tidak Mendapat Bonus")</f>
        <v>Mendapat Bonus</v>
      </c>
      <c r="H245" s="26">
        <f t="shared" si="3"/>
        <v>1.3547725474595092E-2</v>
      </c>
      <c r="I245" s="20">
        <f>IF(G245="Mendapat Bonus",H245*'Asumsi &amp; Bobot'!$C$16,0)</f>
        <v>677.38627372975463</v>
      </c>
    </row>
    <row r="246" spans="1:9" ht="15" customHeight="1" x14ac:dyDescent="0.35">
      <c r="A246" s="22">
        <f>'Vektor S &amp; V'!J246</f>
        <v>225</v>
      </c>
      <c r="B246" s="8" t="str">
        <f>'Vektor S &amp; V'!B246</f>
        <v>Junior Marketing Analyst</v>
      </c>
      <c r="C246" s="11" t="str">
        <f>'Data Mentah'!C246</f>
        <v>Bachelor's</v>
      </c>
      <c r="D246" s="23">
        <f>'Data Mentah'!E246</f>
        <v>6</v>
      </c>
      <c r="E246" s="24">
        <f>'Data Mentah'!F246</f>
        <v>70000</v>
      </c>
      <c r="F246" s="27">
        <f>'Vektor S &amp; V'!I246</f>
        <v>2.0016252240292937E-3</v>
      </c>
      <c r="G246" s="11" t="str">
        <f>IF(F246&gt;='Asumsi &amp; Bobot'!$C$15,"Mendapat Bonus","Tidak Mendapat Bonus")</f>
        <v>Tidak Mendapat Bonus</v>
      </c>
      <c r="H246" s="27">
        <f t="shared" si="3"/>
        <v>0</v>
      </c>
      <c r="I246" s="24">
        <f>IF(G246="Mendapat Bonus",H246*'Asumsi &amp; Bobot'!$C$16,0)</f>
        <v>0</v>
      </c>
    </row>
    <row r="247" spans="1:9" ht="15" customHeight="1" x14ac:dyDescent="0.35">
      <c r="A247" s="18">
        <f>'Vektor S &amp; V'!J247</f>
        <v>252</v>
      </c>
      <c r="B247" s="17" t="str">
        <f>'Vektor S &amp; V'!B247</f>
        <v>Senior Operations Manager</v>
      </c>
      <c r="C247" s="14" t="str">
        <f>'Data Mentah'!C247</f>
        <v>Bachelor's</v>
      </c>
      <c r="D247" s="19">
        <f>'Data Mentah'!E247</f>
        <v>8</v>
      </c>
      <c r="E247" s="20">
        <f>'Data Mentah'!F247</f>
        <v>95000</v>
      </c>
      <c r="F247" s="26">
        <f>'Vektor S &amp; V'!I247</f>
        <v>1.8303978360279275E-3</v>
      </c>
      <c r="G247" s="14" t="str">
        <f>IF(F247&gt;='Asumsi &amp; Bobot'!$C$15,"Mendapat Bonus","Tidak Mendapat Bonus")</f>
        <v>Tidak Mendapat Bonus</v>
      </c>
      <c r="H247" s="26">
        <f t="shared" si="3"/>
        <v>0</v>
      </c>
      <c r="I247" s="20">
        <f>IF(G247="Mendapat Bonus",H247*'Asumsi &amp; Bobot'!$C$16,0)</f>
        <v>0</v>
      </c>
    </row>
    <row r="248" spans="1:9" ht="15" customHeight="1" x14ac:dyDescent="0.35">
      <c r="A248" s="22">
        <f>'Vektor S &amp; V'!J248</f>
        <v>34</v>
      </c>
      <c r="B248" s="8" t="str">
        <f>'Vektor S &amp; V'!B248</f>
        <v>Director of Marketing</v>
      </c>
      <c r="C248" s="11" t="str">
        <f>'Data Mentah'!C248</f>
        <v>Master's</v>
      </c>
      <c r="D248" s="23">
        <f>'Data Mentah'!E248</f>
        <v>21</v>
      </c>
      <c r="E248" s="24">
        <f>'Data Mentah'!F248</f>
        <v>180000</v>
      </c>
      <c r="F248" s="27">
        <f>'Vektor S &amp; V'!I248</f>
        <v>4.5867782375594874E-3</v>
      </c>
      <c r="G248" s="11" t="str">
        <f>IF(F248&gt;='Asumsi &amp; Bobot'!$C$15,"Mendapat Bonus","Tidak Mendapat Bonus")</f>
        <v>Mendapat Bonus</v>
      </c>
      <c r="H248" s="27">
        <f t="shared" si="3"/>
        <v>1.3878384397362404E-2</v>
      </c>
      <c r="I248" s="24">
        <f>IF(G248="Mendapat Bonus",H248*'Asumsi &amp; Bobot'!$C$16,0)</f>
        <v>693.91921986812019</v>
      </c>
    </row>
    <row r="249" spans="1:9" ht="15" customHeight="1" x14ac:dyDescent="0.35">
      <c r="A249" s="18">
        <f>'Vektor S &amp; V'!J249</f>
        <v>330</v>
      </c>
      <c r="B249" s="17" t="str">
        <f>'Vektor S &amp; V'!B249</f>
        <v>Junior Financial Analyst</v>
      </c>
      <c r="C249" s="14" t="str">
        <f>'Data Mentah'!C249</f>
        <v>Bachelor's</v>
      </c>
      <c r="D249" s="19">
        <f>'Data Mentah'!E249</f>
        <v>3</v>
      </c>
      <c r="E249" s="20">
        <f>'Data Mentah'!F249</f>
        <v>50000</v>
      </c>
      <c r="F249" s="26">
        <f>'Vektor S &amp; V'!I249</f>
        <v>1.4692229883546909E-3</v>
      </c>
      <c r="G249" s="14" t="str">
        <f>IF(F249&gt;='Asumsi &amp; Bobot'!$C$15,"Mendapat Bonus","Tidak Mendapat Bonus")</f>
        <v>Tidak Mendapat Bonus</v>
      </c>
      <c r="H249" s="26">
        <f t="shared" si="3"/>
        <v>0</v>
      </c>
      <c r="I249" s="20">
        <f>IF(G249="Mendapat Bonus",H249*'Asumsi &amp; Bobot'!$C$16,0)</f>
        <v>0</v>
      </c>
    </row>
    <row r="250" spans="1:9" ht="15" customHeight="1" x14ac:dyDescent="0.35">
      <c r="A250" s="22">
        <f>'Vektor S &amp; V'!J250</f>
        <v>168</v>
      </c>
      <c r="B250" s="8" t="str">
        <f>'Vektor S &amp; V'!B250</f>
        <v>Senior Project Coordinator</v>
      </c>
      <c r="C250" s="11" t="str">
        <f>'Data Mentah'!C250</f>
        <v>Bachelor's</v>
      </c>
      <c r="D250" s="23">
        <f>'Data Mentah'!E250</f>
        <v>11</v>
      </c>
      <c r="E250" s="24">
        <f>'Data Mentah'!F250</f>
        <v>95000</v>
      </c>
      <c r="F250" s="27">
        <f>'Vektor S &amp; V'!I250</f>
        <v>2.4431994545891854E-3</v>
      </c>
      <c r="G250" s="11" t="str">
        <f>IF(F250&gt;='Asumsi &amp; Bobot'!$C$15,"Mendapat Bonus","Tidak Mendapat Bonus")</f>
        <v>Tidak Mendapat Bonus</v>
      </c>
      <c r="H250" s="27">
        <f t="shared" si="3"/>
        <v>0</v>
      </c>
      <c r="I250" s="24">
        <f>IF(G250="Mendapat Bonus",H250*'Asumsi &amp; Bobot'!$C$16,0)</f>
        <v>0</v>
      </c>
    </row>
    <row r="251" spans="1:9" ht="15" customHeight="1" x14ac:dyDescent="0.35">
      <c r="A251" s="18">
        <f>'Vektor S &amp; V'!J251</f>
        <v>85</v>
      </c>
      <c r="B251" s="17" t="str">
        <f>'Vektor S &amp; V'!B251</f>
        <v>Director of Operations</v>
      </c>
      <c r="C251" s="14" t="str">
        <f>'Data Mentah'!C251</f>
        <v>Master's</v>
      </c>
      <c r="D251" s="19">
        <f>'Data Mentah'!E251</f>
        <v>20</v>
      </c>
      <c r="E251" s="20">
        <f>'Data Mentah'!F251</f>
        <v>170000</v>
      </c>
      <c r="F251" s="26">
        <f>'Vektor S &amp; V'!I251</f>
        <v>3.8490100602902055E-3</v>
      </c>
      <c r="G251" s="14" t="str">
        <f>IF(F251&gt;='Asumsi &amp; Bobot'!$C$15,"Mendapat Bonus","Tidak Mendapat Bonus")</f>
        <v>Tidak Mendapat Bonus</v>
      </c>
      <c r="H251" s="26">
        <f t="shared" si="3"/>
        <v>0</v>
      </c>
      <c r="I251" s="20">
        <f>IF(G251="Mendapat Bonus",H251*'Asumsi &amp; Bobot'!$C$16,0)</f>
        <v>0</v>
      </c>
    </row>
    <row r="252" spans="1:9" ht="15" customHeight="1" x14ac:dyDescent="0.35">
      <c r="A252" s="22">
        <f>'Vektor S &amp; V'!J252</f>
        <v>297</v>
      </c>
      <c r="B252" s="8" t="str">
        <f>'Vektor S &amp; V'!B252</f>
        <v>Junior Marketing Coordinator</v>
      </c>
      <c r="C252" s="11" t="str">
        <f>'Data Mentah'!C252</f>
        <v>Bachelor's</v>
      </c>
      <c r="D252" s="23">
        <f>'Data Mentah'!E252</f>
        <v>2</v>
      </c>
      <c r="E252" s="24">
        <f>'Data Mentah'!F252</f>
        <v>40000</v>
      </c>
      <c r="F252" s="27">
        <f>'Vektor S &amp; V'!I252</f>
        <v>1.6077975025042726E-3</v>
      </c>
      <c r="G252" s="11" t="str">
        <f>IF(F252&gt;='Asumsi &amp; Bobot'!$C$15,"Mendapat Bonus","Tidak Mendapat Bonus")</f>
        <v>Tidak Mendapat Bonus</v>
      </c>
      <c r="H252" s="27">
        <f t="shared" si="3"/>
        <v>0</v>
      </c>
      <c r="I252" s="24">
        <f>IF(G252="Mendapat Bonus",H252*'Asumsi &amp; Bobot'!$C$16,0)</f>
        <v>0</v>
      </c>
    </row>
    <row r="253" spans="1:9" ht="15" customHeight="1" x14ac:dyDescent="0.35">
      <c r="A253" s="18">
        <f>'Vektor S &amp; V'!J253</f>
        <v>126</v>
      </c>
      <c r="B253" s="17" t="str">
        <f>'Vektor S &amp; V'!B253</f>
        <v>Senior IT Consultant</v>
      </c>
      <c r="C253" s="14" t="str">
        <f>'Data Mentah'!C253</f>
        <v>Master's</v>
      </c>
      <c r="D253" s="19">
        <f>'Data Mentah'!E253</f>
        <v>9</v>
      </c>
      <c r="E253" s="20">
        <f>'Data Mentah'!F253</f>
        <v>110000</v>
      </c>
      <c r="F253" s="26">
        <f>'Vektor S &amp; V'!I253</f>
        <v>2.9933600662490571E-3</v>
      </c>
      <c r="G253" s="14" t="str">
        <f>IF(F253&gt;='Asumsi &amp; Bobot'!$C$15,"Mendapat Bonus","Tidak Mendapat Bonus")</f>
        <v>Tidak Mendapat Bonus</v>
      </c>
      <c r="H253" s="26">
        <f t="shared" si="3"/>
        <v>0</v>
      </c>
      <c r="I253" s="20">
        <f>IF(G253="Mendapat Bonus",H253*'Asumsi &amp; Bobot'!$C$16,0)</f>
        <v>0</v>
      </c>
    </row>
    <row r="254" spans="1:9" ht="15" customHeight="1" x14ac:dyDescent="0.35">
      <c r="A254" s="22">
        <f>'Vektor S &amp; V'!J254</f>
        <v>15</v>
      </c>
      <c r="B254" s="8" t="str">
        <f>'Vektor S &amp; V'!B254</f>
        <v>Senior Product Designer</v>
      </c>
      <c r="C254" s="11" t="str">
        <f>'Data Mentah'!C254</f>
        <v>PhD</v>
      </c>
      <c r="D254" s="23">
        <f>'Data Mentah'!E254</f>
        <v>15</v>
      </c>
      <c r="E254" s="24">
        <f>'Data Mentah'!F254</f>
        <v>150000</v>
      </c>
      <c r="F254" s="27">
        <f>'Vektor S &amp; V'!I254</f>
        <v>4.8412832127227327E-3</v>
      </c>
      <c r="G254" s="11" t="str">
        <f>IF(F254&gt;='Asumsi &amp; Bobot'!$C$15,"Mendapat Bonus","Tidak Mendapat Bonus")</f>
        <v>Mendapat Bonus</v>
      </c>
      <c r="H254" s="27">
        <f t="shared" si="3"/>
        <v>1.4648449504812649E-2</v>
      </c>
      <c r="I254" s="24">
        <f>IF(G254="Mendapat Bonus",H254*'Asumsi &amp; Bobot'!$C$16,0)</f>
        <v>732.42247524063248</v>
      </c>
    </row>
    <row r="255" spans="1:9" ht="15" customHeight="1" x14ac:dyDescent="0.35">
      <c r="A255" s="18">
        <f>'Vektor S &amp; V'!J255</f>
        <v>347</v>
      </c>
      <c r="B255" s="17" t="str">
        <f>'Vektor S &amp; V'!B255</f>
        <v>Junior Business Development Associate</v>
      </c>
      <c r="C255" s="14" t="str">
        <f>'Data Mentah'!C255</f>
        <v>Bachelor's</v>
      </c>
      <c r="D255" s="19">
        <f>'Data Mentah'!E255</f>
        <v>2</v>
      </c>
      <c r="E255" s="20">
        <f>'Data Mentah'!F255</f>
        <v>40000</v>
      </c>
      <c r="F255" s="26">
        <f>'Vektor S &amp; V'!I255</f>
        <v>1.3209316495539497E-3</v>
      </c>
      <c r="G255" s="14" t="str">
        <f>IF(F255&gt;='Asumsi &amp; Bobot'!$C$15,"Mendapat Bonus","Tidak Mendapat Bonus")</f>
        <v>Tidak Mendapat Bonus</v>
      </c>
      <c r="H255" s="26">
        <f t="shared" si="3"/>
        <v>0</v>
      </c>
      <c r="I255" s="20">
        <f>IF(G255="Mendapat Bonus",H255*'Asumsi &amp; Bobot'!$C$16,0)</f>
        <v>0</v>
      </c>
    </row>
    <row r="256" spans="1:9" ht="15" customHeight="1" x14ac:dyDescent="0.35">
      <c r="A256" s="22">
        <f>'Vektor S &amp; V'!J256</f>
        <v>212</v>
      </c>
      <c r="B256" s="8" t="str">
        <f>'Vektor S &amp; V'!B256</f>
        <v>Senior Marketing Analyst</v>
      </c>
      <c r="C256" s="11" t="str">
        <f>'Data Mentah'!C256</f>
        <v>Bachelor's</v>
      </c>
      <c r="D256" s="23">
        <f>'Data Mentah'!E256</f>
        <v>8</v>
      </c>
      <c r="E256" s="24">
        <f>'Data Mentah'!F256</f>
        <v>85000</v>
      </c>
      <c r="F256" s="27">
        <f>'Vektor S &amp; V'!I256</f>
        <v>2.1313772502352703E-3</v>
      </c>
      <c r="G256" s="11" t="str">
        <f>IF(F256&gt;='Asumsi &amp; Bobot'!$C$15,"Mendapat Bonus","Tidak Mendapat Bonus")</f>
        <v>Tidak Mendapat Bonus</v>
      </c>
      <c r="H256" s="27">
        <f t="shared" si="3"/>
        <v>0</v>
      </c>
      <c r="I256" s="24">
        <f>IF(G256="Mendapat Bonus",H256*'Asumsi &amp; Bobot'!$C$16,0)</f>
        <v>0</v>
      </c>
    </row>
    <row r="257" spans="1:9" ht="15" customHeight="1" x14ac:dyDescent="0.35">
      <c r="A257" s="18">
        <f>'Vektor S &amp; V'!J257</f>
        <v>194</v>
      </c>
      <c r="B257" s="17" t="str">
        <f>'Vektor S &amp; V'!B257</f>
        <v>Senior Software Engineer</v>
      </c>
      <c r="C257" s="14" t="str">
        <f>'Data Mentah'!C257</f>
        <v>Bachelor's</v>
      </c>
      <c r="D257" s="19">
        <f>'Data Mentah'!E257</f>
        <v>14</v>
      </c>
      <c r="E257" s="20">
        <f>'Data Mentah'!F257</f>
        <v>130000</v>
      </c>
      <c r="F257" s="26">
        <f>'Vektor S &amp; V'!I257</f>
        <v>2.2216466035692808E-3</v>
      </c>
      <c r="G257" s="14" t="str">
        <f>IF(F257&gt;='Asumsi &amp; Bobot'!$C$15,"Mendapat Bonus","Tidak Mendapat Bonus")</f>
        <v>Tidak Mendapat Bonus</v>
      </c>
      <c r="H257" s="26">
        <f t="shared" si="3"/>
        <v>0</v>
      </c>
      <c r="I257" s="20">
        <f>IF(G257="Mendapat Bonus",H257*'Asumsi &amp; Bobot'!$C$16,0)</f>
        <v>0</v>
      </c>
    </row>
    <row r="258" spans="1:9" ht="15" customHeight="1" x14ac:dyDescent="0.35">
      <c r="A258" s="22">
        <f>'Vektor S &amp; V'!J258</f>
        <v>122</v>
      </c>
      <c r="B258" s="8" t="str">
        <f>'Vektor S &amp; V'!B258</f>
        <v>Senior Financial Advisor</v>
      </c>
      <c r="C258" s="11" t="str">
        <f>'Data Mentah'!C258</f>
        <v>Master's</v>
      </c>
      <c r="D258" s="23">
        <f>'Data Mentah'!E258</f>
        <v>6</v>
      </c>
      <c r="E258" s="24">
        <f>'Data Mentah'!F258</f>
        <v>100000</v>
      </c>
      <c r="F258" s="27">
        <f>'Vektor S &amp; V'!I258</f>
        <v>3.0427284645577917E-3</v>
      </c>
      <c r="G258" s="11" t="str">
        <f>IF(F258&gt;='Asumsi &amp; Bobot'!$C$15,"Mendapat Bonus","Tidak Mendapat Bonus")</f>
        <v>Tidak Mendapat Bonus</v>
      </c>
      <c r="H258" s="27">
        <f t="shared" si="3"/>
        <v>0</v>
      </c>
      <c r="I258" s="24">
        <f>IF(G258="Mendapat Bonus",H258*'Asumsi &amp; Bobot'!$C$16,0)</f>
        <v>0</v>
      </c>
    </row>
    <row r="259" spans="1:9" ht="15" customHeight="1" x14ac:dyDescent="0.35">
      <c r="A259" s="18">
        <f>'Vektor S &amp; V'!J259</f>
        <v>245</v>
      </c>
      <c r="B259" s="17" t="str">
        <f>'Vektor S &amp; V'!B259</f>
        <v>Senior Project Coordinator</v>
      </c>
      <c r="C259" s="14" t="str">
        <f>'Data Mentah'!C259</f>
        <v>Bachelor's</v>
      </c>
      <c r="D259" s="19">
        <f>'Data Mentah'!E259</f>
        <v>9</v>
      </c>
      <c r="E259" s="20">
        <f>'Data Mentah'!F259</f>
        <v>95000</v>
      </c>
      <c r="F259" s="26">
        <f>'Vektor S &amp; V'!I259</f>
        <v>1.8616693741305376E-3</v>
      </c>
      <c r="G259" s="14" t="str">
        <f>IF(F259&gt;='Asumsi &amp; Bobot'!$C$15,"Mendapat Bonus","Tidak Mendapat Bonus")</f>
        <v>Tidak Mendapat Bonus</v>
      </c>
      <c r="H259" s="26">
        <f t="shared" ref="H259:H322" si="4">IF(G259="Mendapat Bonus",F259/(SUMIF($G$3:$G$375,"Mendapat Bonus",$F$3:$F$375)),0)</f>
        <v>0</v>
      </c>
      <c r="I259" s="20">
        <f>IF(G259="Mendapat Bonus",H259*'Asumsi &amp; Bobot'!$C$16,0)</f>
        <v>0</v>
      </c>
    </row>
    <row r="260" spans="1:9" ht="15" customHeight="1" x14ac:dyDescent="0.35">
      <c r="A260" s="22">
        <f>'Vektor S &amp; V'!J260</f>
        <v>2</v>
      </c>
      <c r="B260" s="8" t="str">
        <f>'Vektor S &amp; V'!B260</f>
        <v>Director of Operations</v>
      </c>
      <c r="C260" s="11" t="str">
        <f>'Data Mentah'!C260</f>
        <v>PhD</v>
      </c>
      <c r="D260" s="23">
        <f>'Data Mentah'!E260</f>
        <v>22</v>
      </c>
      <c r="E260" s="24">
        <f>'Data Mentah'!F260</f>
        <v>180000</v>
      </c>
      <c r="F260" s="27">
        <f>'Vektor S &amp; V'!I260</f>
        <v>5.4905999277726856E-3</v>
      </c>
      <c r="G260" s="11" t="str">
        <f>IF(F260&gt;='Asumsi &amp; Bobot'!$C$15,"Mendapat Bonus","Tidak Mendapat Bonus")</f>
        <v>Mendapat Bonus</v>
      </c>
      <c r="H260" s="27">
        <f t="shared" si="4"/>
        <v>1.6613111082149044E-2</v>
      </c>
      <c r="I260" s="24">
        <f>IF(G260="Mendapat Bonus",H260*'Asumsi &amp; Bobot'!$C$16,0)</f>
        <v>830.65555410745219</v>
      </c>
    </row>
    <row r="261" spans="1:9" ht="15" customHeight="1" x14ac:dyDescent="0.35">
      <c r="A261" s="18">
        <f>'Vektor S &amp; V'!J261</f>
        <v>333</v>
      </c>
      <c r="B261" s="17" t="str">
        <f>'Vektor S &amp; V'!B261</f>
        <v>Junior Business Operations Analyst</v>
      </c>
      <c r="C261" s="14" t="str">
        <f>'Data Mentah'!C261</f>
        <v>Bachelor's</v>
      </c>
      <c r="D261" s="19">
        <f>'Data Mentah'!E261</f>
        <v>1.5</v>
      </c>
      <c r="E261" s="20">
        <f>'Data Mentah'!F261</f>
        <v>350</v>
      </c>
      <c r="F261" s="26">
        <f>'Vektor S &amp; V'!I261</f>
        <v>1.4659571402801234E-3</v>
      </c>
      <c r="G261" s="14" t="str">
        <f>IF(F261&gt;='Asumsi &amp; Bobot'!$C$15,"Mendapat Bonus","Tidak Mendapat Bonus")</f>
        <v>Tidak Mendapat Bonus</v>
      </c>
      <c r="H261" s="26">
        <f t="shared" si="4"/>
        <v>0</v>
      </c>
      <c r="I261" s="20">
        <f>IF(G261="Mendapat Bonus",H261*'Asumsi &amp; Bobot'!$C$16,0)</f>
        <v>0</v>
      </c>
    </row>
    <row r="262" spans="1:9" ht="15" customHeight="1" x14ac:dyDescent="0.35">
      <c r="A262" s="22">
        <f>'Vektor S &amp; V'!J262</f>
        <v>193</v>
      </c>
      <c r="B262" s="8" t="str">
        <f>'Vektor S &amp; V'!B262</f>
        <v>Senior Financial Manager</v>
      </c>
      <c r="C262" s="11" t="str">
        <f>'Data Mentah'!C262</f>
        <v>Bachelor's</v>
      </c>
      <c r="D262" s="23">
        <f>'Data Mentah'!E262</f>
        <v>10</v>
      </c>
      <c r="E262" s="24">
        <f>'Data Mentah'!F262</f>
        <v>120000</v>
      </c>
      <c r="F262" s="27">
        <f>'Vektor S &amp; V'!I262</f>
        <v>2.2297317332213764E-3</v>
      </c>
      <c r="G262" s="11" t="str">
        <f>IF(F262&gt;='Asumsi &amp; Bobot'!$C$15,"Mendapat Bonus","Tidak Mendapat Bonus")</f>
        <v>Tidak Mendapat Bonus</v>
      </c>
      <c r="H262" s="27">
        <f t="shared" si="4"/>
        <v>0</v>
      </c>
      <c r="I262" s="24">
        <f>IF(G262="Mendapat Bonus",H262*'Asumsi &amp; Bobot'!$C$16,0)</f>
        <v>0</v>
      </c>
    </row>
    <row r="263" spans="1:9" ht="15" customHeight="1" x14ac:dyDescent="0.35">
      <c r="A263" s="18">
        <f>'Vektor S &amp; V'!J263</f>
        <v>51</v>
      </c>
      <c r="B263" s="17" t="str">
        <f>'Vektor S &amp; V'!B263</f>
        <v>Senior Data Scientist</v>
      </c>
      <c r="C263" s="14" t="str">
        <f>'Data Mentah'!C263</f>
        <v>PhD</v>
      </c>
      <c r="D263" s="19">
        <f>'Data Mentah'!E263</f>
        <v>18</v>
      </c>
      <c r="E263" s="20">
        <f>'Data Mentah'!F263</f>
        <v>160000</v>
      </c>
      <c r="F263" s="26">
        <f>'Vektor S &amp; V'!I263</f>
        <v>4.3757725627059487E-3</v>
      </c>
      <c r="G263" s="14" t="str">
        <f>IF(F263&gt;='Asumsi &amp; Bobot'!$C$15,"Mendapat Bonus","Tidak Mendapat Bonus")</f>
        <v>Mendapat Bonus</v>
      </c>
      <c r="H263" s="26">
        <f t="shared" si="4"/>
        <v>1.3239936730182311E-2</v>
      </c>
      <c r="I263" s="20">
        <f>IF(G263="Mendapat Bonus",H263*'Asumsi &amp; Bobot'!$C$16,0)</f>
        <v>661.99683650911561</v>
      </c>
    </row>
    <row r="264" spans="1:9" ht="15" customHeight="1" x14ac:dyDescent="0.35">
      <c r="A264" s="22">
        <f>'Vektor S &amp; V'!J264</f>
        <v>277</v>
      </c>
      <c r="B264" s="8" t="str">
        <f>'Vektor S &amp; V'!B264</f>
        <v>Junior Marketing Coordinator</v>
      </c>
      <c r="C264" s="11" t="str">
        <f>'Data Mentah'!C264</f>
        <v>Bachelor's</v>
      </c>
      <c r="D264" s="23">
        <f>'Data Mentah'!E264</f>
        <v>3</v>
      </c>
      <c r="E264" s="24">
        <f>'Data Mentah'!F264</f>
        <v>50000</v>
      </c>
      <c r="F264" s="27">
        <f>'Vektor S &amp; V'!I264</f>
        <v>1.7129882406672022E-3</v>
      </c>
      <c r="G264" s="11" t="str">
        <f>IF(F264&gt;='Asumsi &amp; Bobot'!$C$15,"Mendapat Bonus","Tidak Mendapat Bonus")</f>
        <v>Tidak Mendapat Bonus</v>
      </c>
      <c r="H264" s="27">
        <f t="shared" si="4"/>
        <v>0</v>
      </c>
      <c r="I264" s="24">
        <f>IF(G264="Mendapat Bonus",H264*'Asumsi &amp; Bobot'!$C$16,0)</f>
        <v>0</v>
      </c>
    </row>
    <row r="265" spans="1:9" ht="15" customHeight="1" x14ac:dyDescent="0.35">
      <c r="A265" s="18">
        <f>'Vektor S &amp; V'!J265</f>
        <v>211</v>
      </c>
      <c r="B265" s="17" t="str">
        <f>'Vektor S &amp; V'!B265</f>
        <v>Senior Operations Manager</v>
      </c>
      <c r="C265" s="14" t="str">
        <f>'Data Mentah'!C265</f>
        <v>Bachelor's</v>
      </c>
      <c r="D265" s="19">
        <f>'Data Mentah'!E265</f>
        <v>12</v>
      </c>
      <c r="E265" s="20">
        <f>'Data Mentah'!F265</f>
        <v>110000</v>
      </c>
      <c r="F265" s="26">
        <f>'Vektor S &amp; V'!I265</f>
        <v>2.1316697611375212E-3</v>
      </c>
      <c r="G265" s="14" t="str">
        <f>IF(F265&gt;='Asumsi &amp; Bobot'!$C$15,"Mendapat Bonus","Tidak Mendapat Bonus")</f>
        <v>Tidak Mendapat Bonus</v>
      </c>
      <c r="H265" s="26">
        <f t="shared" si="4"/>
        <v>0</v>
      </c>
      <c r="I265" s="20">
        <f>IF(G265="Mendapat Bonus",H265*'Asumsi &amp; Bobot'!$C$16,0)</f>
        <v>0</v>
      </c>
    </row>
    <row r="266" spans="1:9" ht="15" customHeight="1" x14ac:dyDescent="0.35">
      <c r="A266" s="22">
        <f>'Vektor S &amp; V'!J266</f>
        <v>326</v>
      </c>
      <c r="B266" s="8" t="str">
        <f>'Vektor S &amp; V'!B266</f>
        <v>Junior Sales Representative</v>
      </c>
      <c r="C266" s="11" t="str">
        <f>'Data Mentah'!C266</f>
        <v>Bachelor's</v>
      </c>
      <c r="D266" s="23">
        <f>'Data Mentah'!E266</f>
        <v>1.5</v>
      </c>
      <c r="E266" s="24">
        <f>'Data Mentah'!F266</f>
        <v>40000</v>
      </c>
      <c r="F266" s="27">
        <f>'Vektor S &amp; V'!I266</f>
        <v>1.5184064567762066E-3</v>
      </c>
      <c r="G266" s="11" t="str">
        <f>IF(F266&gt;='Asumsi &amp; Bobot'!$C$15,"Mendapat Bonus","Tidak Mendapat Bonus")</f>
        <v>Tidak Mendapat Bonus</v>
      </c>
      <c r="H266" s="27">
        <f t="shared" si="4"/>
        <v>0</v>
      </c>
      <c r="I266" s="24">
        <f>IF(G266="Mendapat Bonus",H266*'Asumsi &amp; Bobot'!$C$16,0)</f>
        <v>0</v>
      </c>
    </row>
    <row r="267" spans="1:9" ht="15" customHeight="1" x14ac:dyDescent="0.35">
      <c r="A267" s="18">
        <f>'Vektor S &amp; V'!J267</f>
        <v>252</v>
      </c>
      <c r="B267" s="17" t="str">
        <f>'Vektor S &amp; V'!B267</f>
        <v>Senior Marketing Specialist</v>
      </c>
      <c r="C267" s="14" t="str">
        <f>'Data Mentah'!C267</f>
        <v>Bachelor's</v>
      </c>
      <c r="D267" s="19">
        <f>'Data Mentah'!E267</f>
        <v>8</v>
      </c>
      <c r="E267" s="20">
        <f>'Data Mentah'!F267</f>
        <v>95000</v>
      </c>
      <c r="F267" s="26">
        <f>'Vektor S &amp; V'!I267</f>
        <v>1.8303978360279275E-3</v>
      </c>
      <c r="G267" s="14" t="str">
        <f>IF(F267&gt;='Asumsi &amp; Bobot'!$C$15,"Mendapat Bonus","Tidak Mendapat Bonus")</f>
        <v>Tidak Mendapat Bonus</v>
      </c>
      <c r="H267" s="26">
        <f t="shared" si="4"/>
        <v>0</v>
      </c>
      <c r="I267" s="20">
        <f>IF(G267="Mendapat Bonus",H267*'Asumsi &amp; Bobot'!$C$16,0)</f>
        <v>0</v>
      </c>
    </row>
    <row r="268" spans="1:9" ht="15" customHeight="1" x14ac:dyDescent="0.35">
      <c r="A268" s="22">
        <f>'Vektor S &amp; V'!J268</f>
        <v>63</v>
      </c>
      <c r="B268" s="8" t="str">
        <f>'Vektor S &amp; V'!B268</f>
        <v>Senior HR Specialist</v>
      </c>
      <c r="C268" s="11" t="str">
        <f>'Data Mentah'!C268</f>
        <v>Master's</v>
      </c>
      <c r="D268" s="23">
        <f>'Data Mentah'!E268</f>
        <v>15</v>
      </c>
      <c r="E268" s="24">
        <f>'Data Mentah'!F268</f>
        <v>140000</v>
      </c>
      <c r="F268" s="27">
        <f>'Vektor S &amp; V'!I268</f>
        <v>4.1265365716089243E-3</v>
      </c>
      <c r="G268" s="11" t="str">
        <f>IF(F268&gt;='Asumsi &amp; Bobot'!$C$15,"Mendapat Bonus","Tidak Mendapat Bonus")</f>
        <v>Mendapat Bonus</v>
      </c>
      <c r="H268" s="27">
        <f t="shared" si="4"/>
        <v>1.2485814182513091E-2</v>
      </c>
      <c r="I268" s="24">
        <f>IF(G268="Mendapat Bonus",H268*'Asumsi &amp; Bobot'!$C$16,0)</f>
        <v>624.29070912565453</v>
      </c>
    </row>
    <row r="269" spans="1:9" ht="15" customHeight="1" x14ac:dyDescent="0.35">
      <c r="A269" s="18">
        <f>'Vektor S &amp; V'!J269</f>
        <v>309</v>
      </c>
      <c r="B269" s="17" t="str">
        <f>'Vektor S &amp; V'!B269</f>
        <v>Junior Operations Manager</v>
      </c>
      <c r="C269" s="14" t="str">
        <f>'Data Mentah'!C269</f>
        <v>Bachelor's</v>
      </c>
      <c r="D269" s="19">
        <f>'Data Mentah'!E269</f>
        <v>4</v>
      </c>
      <c r="E269" s="20">
        <f>'Data Mentah'!F269</f>
        <v>60000</v>
      </c>
      <c r="F269" s="26">
        <f>'Vektor S &amp; V'!I269</f>
        <v>1.5749825490046559E-3</v>
      </c>
      <c r="G269" s="14" t="str">
        <f>IF(F269&gt;='Asumsi &amp; Bobot'!$C$15,"Mendapat Bonus","Tidak Mendapat Bonus")</f>
        <v>Tidak Mendapat Bonus</v>
      </c>
      <c r="H269" s="26">
        <f t="shared" si="4"/>
        <v>0</v>
      </c>
      <c r="I269" s="20">
        <f>IF(G269="Mendapat Bonus",H269*'Asumsi &amp; Bobot'!$C$16,0)</f>
        <v>0</v>
      </c>
    </row>
    <row r="270" spans="1:9" ht="15" customHeight="1" x14ac:dyDescent="0.35">
      <c r="A270" s="22">
        <f>'Vektor S &amp; V'!J270</f>
        <v>191</v>
      </c>
      <c r="B270" s="8" t="str">
        <f>'Vektor S &amp; V'!B270</f>
        <v>Senior Marketing Coordinator</v>
      </c>
      <c r="C270" s="11" t="str">
        <f>'Data Mentah'!C270</f>
        <v>Bachelor's</v>
      </c>
      <c r="D270" s="23">
        <f>'Data Mentah'!E270</f>
        <v>9</v>
      </c>
      <c r="E270" s="24">
        <f>'Data Mentah'!F270</f>
        <v>110000</v>
      </c>
      <c r="F270" s="27">
        <f>'Vektor S &amp; V'!I270</f>
        <v>2.2387656639101714E-3</v>
      </c>
      <c r="G270" s="11" t="str">
        <f>IF(F270&gt;='Asumsi &amp; Bobot'!$C$15,"Mendapat Bonus","Tidak Mendapat Bonus")</f>
        <v>Tidak Mendapat Bonus</v>
      </c>
      <c r="H270" s="27">
        <f t="shared" si="4"/>
        <v>0</v>
      </c>
      <c r="I270" s="24">
        <f>IF(G270="Mendapat Bonus",H270*'Asumsi &amp; Bobot'!$C$16,0)</f>
        <v>0</v>
      </c>
    </row>
    <row r="271" spans="1:9" ht="15" customHeight="1" x14ac:dyDescent="0.35">
      <c r="A271" s="18">
        <f>'Vektor S &amp; V'!J271</f>
        <v>57</v>
      </c>
      <c r="B271" s="17" t="str">
        <f>'Vektor S &amp; V'!B271</f>
        <v>Senior Data Engineer</v>
      </c>
      <c r="C271" s="14" t="str">
        <f>'Data Mentah'!C271</f>
        <v>PhD</v>
      </c>
      <c r="D271" s="19">
        <f>'Data Mentah'!E271</f>
        <v>16</v>
      </c>
      <c r="E271" s="20">
        <f>'Data Mentah'!F271</f>
        <v>150000</v>
      </c>
      <c r="F271" s="26">
        <f>'Vektor S &amp; V'!I271</f>
        <v>4.2287894604898651E-3</v>
      </c>
      <c r="G271" s="14" t="str">
        <f>IF(F271&gt;='Asumsi &amp; Bobot'!$C$15,"Mendapat Bonus","Tidak Mendapat Bonus")</f>
        <v>Mendapat Bonus</v>
      </c>
      <c r="H271" s="26">
        <f t="shared" si="4"/>
        <v>1.2795204526700637E-2</v>
      </c>
      <c r="I271" s="20">
        <f>IF(G271="Mendapat Bonus",H271*'Asumsi &amp; Bobot'!$C$16,0)</f>
        <v>639.76022633503192</v>
      </c>
    </row>
    <row r="272" spans="1:9" ht="15" customHeight="1" x14ac:dyDescent="0.35">
      <c r="A272" s="22">
        <f>'Vektor S &amp; V'!J272</f>
        <v>259</v>
      </c>
      <c r="B272" s="8" t="str">
        <f>'Vektor S &amp; V'!B272</f>
        <v>Junior Marketing Manager</v>
      </c>
      <c r="C272" s="11" t="str">
        <f>'Data Mentah'!C272</f>
        <v>Bachelor's</v>
      </c>
      <c r="D272" s="23">
        <f>'Data Mentah'!E272</f>
        <v>4</v>
      </c>
      <c r="E272" s="24">
        <f>'Data Mentah'!F272</f>
        <v>60000</v>
      </c>
      <c r="F272" s="27">
        <f>'Vektor S &amp; V'!I272</f>
        <v>1.8078848247059629E-3</v>
      </c>
      <c r="G272" s="11" t="str">
        <f>IF(F272&gt;='Asumsi &amp; Bobot'!$C$15,"Mendapat Bonus","Tidak Mendapat Bonus")</f>
        <v>Tidak Mendapat Bonus</v>
      </c>
      <c r="H272" s="27">
        <f t="shared" si="4"/>
        <v>0</v>
      </c>
      <c r="I272" s="24">
        <f>IF(G272="Mendapat Bonus",H272*'Asumsi &amp; Bobot'!$C$16,0)</f>
        <v>0</v>
      </c>
    </row>
    <row r="273" spans="1:9" ht="15" customHeight="1" x14ac:dyDescent="0.35">
      <c r="A273" s="18">
        <f>'Vektor S &amp; V'!J273</f>
        <v>244</v>
      </c>
      <c r="B273" s="17" t="str">
        <f>'Vektor S &amp; V'!B273</f>
        <v>Senior Financial Analyst</v>
      </c>
      <c r="C273" s="14" t="str">
        <f>'Data Mentah'!C273</f>
        <v>Bachelor's</v>
      </c>
      <c r="D273" s="19">
        <f>'Data Mentah'!E273</f>
        <v>8</v>
      </c>
      <c r="E273" s="20">
        <f>'Data Mentah'!F273</f>
        <v>90000</v>
      </c>
      <c r="F273" s="26">
        <f>'Vektor S &amp; V'!I273</f>
        <v>1.8626114988144131E-3</v>
      </c>
      <c r="G273" s="14" t="str">
        <f>IF(F273&gt;='Asumsi &amp; Bobot'!$C$15,"Mendapat Bonus","Tidak Mendapat Bonus")</f>
        <v>Tidak Mendapat Bonus</v>
      </c>
      <c r="H273" s="26">
        <f t="shared" si="4"/>
        <v>0</v>
      </c>
      <c r="I273" s="20">
        <f>IF(G273="Mendapat Bonus",H273*'Asumsi &amp; Bobot'!$C$16,0)</f>
        <v>0</v>
      </c>
    </row>
    <row r="274" spans="1:9" ht="15" customHeight="1" x14ac:dyDescent="0.35">
      <c r="A274" s="22">
        <f>'Vektor S &amp; V'!J274</f>
        <v>49</v>
      </c>
      <c r="B274" s="8" t="str">
        <f>'Vektor S &amp; V'!B274</f>
        <v>Director of Marketing</v>
      </c>
      <c r="C274" s="11" t="str">
        <f>'Data Mentah'!C274</f>
        <v>Master's</v>
      </c>
      <c r="D274" s="23">
        <f>'Data Mentah'!E274</f>
        <v>20</v>
      </c>
      <c r="E274" s="24">
        <f>'Data Mentah'!F274</f>
        <v>180000</v>
      </c>
      <c r="F274" s="27">
        <f>'Vektor S &amp; V'!I274</f>
        <v>4.4581431407558067E-3</v>
      </c>
      <c r="G274" s="11" t="str">
        <f>IF(F274&gt;='Asumsi &amp; Bobot'!$C$15,"Mendapat Bonus","Tidak Mendapat Bonus")</f>
        <v>Mendapat Bonus</v>
      </c>
      <c r="H274" s="27">
        <f t="shared" si="4"/>
        <v>1.348916843182593E-2</v>
      </c>
      <c r="I274" s="24">
        <f>IF(G274="Mendapat Bonus",H274*'Asumsi &amp; Bobot'!$C$16,0)</f>
        <v>674.45842159129654</v>
      </c>
    </row>
    <row r="275" spans="1:9" ht="15" customHeight="1" x14ac:dyDescent="0.35">
      <c r="A275" s="18">
        <f>'Vektor S &amp; V'!J275</f>
        <v>342</v>
      </c>
      <c r="B275" s="17" t="str">
        <f>'Vektor S &amp; V'!B275</f>
        <v>Junior Business Analyst</v>
      </c>
      <c r="C275" s="14" t="str">
        <f>'Data Mentah'!C275</f>
        <v>Bachelor's</v>
      </c>
      <c r="D275" s="19">
        <f>'Data Mentah'!E275</f>
        <v>2</v>
      </c>
      <c r="E275" s="20">
        <f>'Data Mentah'!F275</f>
        <v>40000</v>
      </c>
      <c r="F275" s="26">
        <f>'Vektor S &amp; V'!I275</f>
        <v>1.3790013236625975E-3</v>
      </c>
      <c r="G275" s="14" t="str">
        <f>IF(F275&gt;='Asumsi &amp; Bobot'!$C$15,"Mendapat Bonus","Tidak Mendapat Bonus")</f>
        <v>Tidak Mendapat Bonus</v>
      </c>
      <c r="H275" s="26">
        <f t="shared" si="4"/>
        <v>0</v>
      </c>
      <c r="I275" s="20">
        <f>IF(G275="Mendapat Bonus",H275*'Asumsi &amp; Bobot'!$C$16,0)</f>
        <v>0</v>
      </c>
    </row>
    <row r="276" spans="1:9" ht="15" customHeight="1" x14ac:dyDescent="0.35">
      <c r="A276" s="22">
        <f>'Vektor S &amp; V'!J276</f>
        <v>198</v>
      </c>
      <c r="B276" s="8" t="str">
        <f>'Vektor S &amp; V'!B276</f>
        <v>Senior Project Manager</v>
      </c>
      <c r="C276" s="11" t="str">
        <f>'Data Mentah'!C276</f>
        <v>Bachelor's</v>
      </c>
      <c r="D276" s="23">
        <f>'Data Mentah'!E276</f>
        <v>9</v>
      </c>
      <c r="E276" s="24">
        <f>'Data Mentah'!F276</f>
        <v>120000</v>
      </c>
      <c r="F276" s="27">
        <f>'Vektor S &amp; V'!I276</f>
        <v>2.1944574219895973E-3</v>
      </c>
      <c r="G276" s="11" t="str">
        <f>IF(F276&gt;='Asumsi &amp; Bobot'!$C$15,"Mendapat Bonus","Tidak Mendapat Bonus")</f>
        <v>Tidak Mendapat Bonus</v>
      </c>
      <c r="H276" s="27">
        <f t="shared" si="4"/>
        <v>0</v>
      </c>
      <c r="I276" s="24">
        <f>IF(G276="Mendapat Bonus",H276*'Asumsi &amp; Bobot'!$C$16,0)</f>
        <v>0</v>
      </c>
    </row>
    <row r="277" spans="1:9" ht="15" customHeight="1" x14ac:dyDescent="0.35">
      <c r="A277" s="18">
        <f>'Vektor S &amp; V'!J277</f>
        <v>53</v>
      </c>
      <c r="B277" s="17" t="str">
        <f>'Vektor S &amp; V'!B277</f>
        <v>Senior Data Analyst</v>
      </c>
      <c r="C277" s="14" t="str">
        <f>'Data Mentah'!C277</f>
        <v>PhD</v>
      </c>
      <c r="D277" s="19">
        <f>'Data Mentah'!E277</f>
        <v>17</v>
      </c>
      <c r="E277" s="20">
        <f>'Data Mentah'!F277</f>
        <v>160000</v>
      </c>
      <c r="F277" s="26">
        <f>'Vektor S &amp; V'!I277</f>
        <v>4.3044156929379846E-3</v>
      </c>
      <c r="G277" s="14" t="str">
        <f>IF(F277&gt;='Asumsi &amp; Bobot'!$C$15,"Mendapat Bonus","Tidak Mendapat Bonus")</f>
        <v>Mendapat Bonus</v>
      </c>
      <c r="H277" s="26">
        <f t="shared" si="4"/>
        <v>1.3024029612649797E-2</v>
      </c>
      <c r="I277" s="20">
        <f>IF(G277="Mendapat Bonus",H277*'Asumsi &amp; Bobot'!$C$16,0)</f>
        <v>651.20148063248985</v>
      </c>
    </row>
    <row r="278" spans="1:9" ht="15" customHeight="1" x14ac:dyDescent="0.35">
      <c r="A278" s="22">
        <f>'Vektor S &amp; V'!J278</f>
        <v>231</v>
      </c>
      <c r="B278" s="8" t="str">
        <f>'Vektor S &amp; V'!B278</f>
        <v>Junior Financial Analyst</v>
      </c>
      <c r="C278" s="11" t="str">
        <f>'Data Mentah'!C278</f>
        <v>Bachelor's</v>
      </c>
      <c r="D278" s="23">
        <f>'Data Mentah'!E278</f>
        <v>5</v>
      </c>
      <c r="E278" s="24">
        <f>'Data Mentah'!F278</f>
        <v>70000</v>
      </c>
      <c r="F278" s="27">
        <f>'Vektor S &amp; V'!I278</f>
        <v>1.9225298054803555E-3</v>
      </c>
      <c r="G278" s="11" t="str">
        <f>IF(F278&gt;='Asumsi &amp; Bobot'!$C$15,"Mendapat Bonus","Tidak Mendapat Bonus")</f>
        <v>Tidak Mendapat Bonus</v>
      </c>
      <c r="H278" s="27">
        <f t="shared" si="4"/>
        <v>0</v>
      </c>
      <c r="I278" s="24">
        <f>IF(G278="Mendapat Bonus",H278*'Asumsi &amp; Bobot'!$C$16,0)</f>
        <v>0</v>
      </c>
    </row>
    <row r="279" spans="1:9" ht="15" customHeight="1" x14ac:dyDescent="0.35">
      <c r="A279" s="18">
        <f>'Vektor S &amp; V'!J279</f>
        <v>252</v>
      </c>
      <c r="B279" s="17" t="str">
        <f>'Vektor S &amp; V'!B279</f>
        <v>Senior Product Manager</v>
      </c>
      <c r="C279" s="14" t="str">
        <f>'Data Mentah'!C279</f>
        <v>Bachelor's</v>
      </c>
      <c r="D279" s="19">
        <f>'Data Mentah'!E279</f>
        <v>8</v>
      </c>
      <c r="E279" s="20">
        <f>'Data Mentah'!F279</f>
        <v>95000</v>
      </c>
      <c r="F279" s="26">
        <f>'Vektor S &amp; V'!I279</f>
        <v>1.8303978360279275E-3</v>
      </c>
      <c r="G279" s="14" t="str">
        <f>IF(F279&gt;='Asumsi &amp; Bobot'!$C$15,"Mendapat Bonus","Tidak Mendapat Bonus")</f>
        <v>Tidak Mendapat Bonus</v>
      </c>
      <c r="H279" s="26">
        <f t="shared" si="4"/>
        <v>0</v>
      </c>
      <c r="I279" s="20">
        <f>IF(G279="Mendapat Bonus",H279*'Asumsi &amp; Bobot'!$C$16,0)</f>
        <v>0</v>
      </c>
    </row>
    <row r="280" spans="1:9" ht="15" customHeight="1" x14ac:dyDescent="0.35">
      <c r="A280" s="22">
        <f>'Vektor S &amp; V'!J280</f>
        <v>34</v>
      </c>
      <c r="B280" s="8" t="str">
        <f>'Vektor S &amp; V'!B280</f>
        <v>Director of Operations</v>
      </c>
      <c r="C280" s="11" t="str">
        <f>'Data Mentah'!C280</f>
        <v>Master's</v>
      </c>
      <c r="D280" s="23">
        <f>'Data Mentah'!E280</f>
        <v>21</v>
      </c>
      <c r="E280" s="24">
        <f>'Data Mentah'!F280</f>
        <v>180000</v>
      </c>
      <c r="F280" s="27">
        <f>'Vektor S &amp; V'!I280</f>
        <v>4.5867782375594874E-3</v>
      </c>
      <c r="G280" s="11" t="str">
        <f>IF(F280&gt;='Asumsi &amp; Bobot'!$C$15,"Mendapat Bonus","Tidak Mendapat Bonus")</f>
        <v>Mendapat Bonus</v>
      </c>
      <c r="H280" s="27">
        <f t="shared" si="4"/>
        <v>1.3878384397362404E-2</v>
      </c>
      <c r="I280" s="24">
        <f>IF(G280="Mendapat Bonus",H280*'Asumsi &amp; Bobot'!$C$16,0)</f>
        <v>693.91921986812019</v>
      </c>
    </row>
    <row r="281" spans="1:9" ht="15" customHeight="1" x14ac:dyDescent="0.35">
      <c r="A281" s="18">
        <f>'Vektor S &amp; V'!J281</f>
        <v>330</v>
      </c>
      <c r="B281" s="17" t="str">
        <f>'Vektor S &amp; V'!B281</f>
        <v>Junior Operations Analyst</v>
      </c>
      <c r="C281" s="14" t="str">
        <f>'Data Mentah'!C281</f>
        <v>Bachelor's</v>
      </c>
      <c r="D281" s="19">
        <f>'Data Mentah'!E281</f>
        <v>3</v>
      </c>
      <c r="E281" s="20">
        <f>'Data Mentah'!F281</f>
        <v>50000</v>
      </c>
      <c r="F281" s="26">
        <f>'Vektor S &amp; V'!I281</f>
        <v>1.4692229883546909E-3</v>
      </c>
      <c r="G281" s="14" t="str">
        <f>IF(F281&gt;='Asumsi &amp; Bobot'!$C$15,"Mendapat Bonus","Tidak Mendapat Bonus")</f>
        <v>Tidak Mendapat Bonus</v>
      </c>
      <c r="H281" s="26">
        <f t="shared" si="4"/>
        <v>0</v>
      </c>
      <c r="I281" s="20">
        <f>IF(G281="Mendapat Bonus",H281*'Asumsi &amp; Bobot'!$C$16,0)</f>
        <v>0</v>
      </c>
    </row>
    <row r="282" spans="1:9" ht="15" customHeight="1" x14ac:dyDescent="0.35">
      <c r="A282" s="22">
        <f>'Vektor S &amp; V'!J282</f>
        <v>168</v>
      </c>
      <c r="B282" s="8" t="str">
        <f>'Vektor S &amp; V'!B282</f>
        <v>Senior Project Coordinator</v>
      </c>
      <c r="C282" s="11" t="str">
        <f>'Data Mentah'!C282</f>
        <v>Bachelor's</v>
      </c>
      <c r="D282" s="23">
        <f>'Data Mentah'!E282</f>
        <v>11</v>
      </c>
      <c r="E282" s="24">
        <f>'Data Mentah'!F282</f>
        <v>95000</v>
      </c>
      <c r="F282" s="27">
        <f>'Vektor S &amp; V'!I282</f>
        <v>2.4431994545891854E-3</v>
      </c>
      <c r="G282" s="11" t="str">
        <f>IF(F282&gt;='Asumsi &amp; Bobot'!$C$15,"Mendapat Bonus","Tidak Mendapat Bonus")</f>
        <v>Tidak Mendapat Bonus</v>
      </c>
      <c r="H282" s="27">
        <f t="shared" si="4"/>
        <v>0</v>
      </c>
      <c r="I282" s="24">
        <f>IF(G282="Mendapat Bonus",H282*'Asumsi &amp; Bobot'!$C$16,0)</f>
        <v>0</v>
      </c>
    </row>
    <row r="283" spans="1:9" ht="15" customHeight="1" x14ac:dyDescent="0.35">
      <c r="A283" s="18">
        <f>'Vektor S &amp; V'!J283</f>
        <v>91</v>
      </c>
      <c r="B283" s="17" t="str">
        <f>'Vektor S &amp; V'!B283</f>
        <v>Director of Marketing</v>
      </c>
      <c r="C283" s="14" t="str">
        <f>'Data Mentah'!C283</f>
        <v>Master's</v>
      </c>
      <c r="D283" s="19">
        <f>'Data Mentah'!E283</f>
        <v>19</v>
      </c>
      <c r="E283" s="20">
        <f>'Data Mentah'!F283</f>
        <v>170000</v>
      </c>
      <c r="F283" s="26">
        <f>'Vektor S &amp; V'!I283</f>
        <v>3.7918380737221153E-3</v>
      </c>
      <c r="G283" s="14" t="str">
        <f>IF(F283&gt;='Asumsi &amp; Bobot'!$C$15,"Mendapat Bonus","Tidak Mendapat Bonus")</f>
        <v>Tidak Mendapat Bonus</v>
      </c>
      <c r="H283" s="26">
        <f t="shared" si="4"/>
        <v>0</v>
      </c>
      <c r="I283" s="20">
        <f>IF(G283="Mendapat Bonus",H283*'Asumsi &amp; Bobot'!$C$16,0)</f>
        <v>0</v>
      </c>
    </row>
    <row r="284" spans="1:9" ht="15" customHeight="1" x14ac:dyDescent="0.35">
      <c r="A284" s="22">
        <f>'Vektor S &amp; V'!J284</f>
        <v>323</v>
      </c>
      <c r="B284" s="8" t="str">
        <f>'Vektor S &amp; V'!B284</f>
        <v>Junior Business Development Associate</v>
      </c>
      <c r="C284" s="11" t="str">
        <f>'Data Mentah'!C284</f>
        <v>Bachelor's</v>
      </c>
      <c r="D284" s="23">
        <f>'Data Mentah'!E284</f>
        <v>1.5</v>
      </c>
      <c r="E284" s="24">
        <f>'Data Mentah'!F284</f>
        <v>35000</v>
      </c>
      <c r="F284" s="27">
        <f>'Vektor S &amp; V'!I284</f>
        <v>1.5340947409790428E-3</v>
      </c>
      <c r="G284" s="11" t="str">
        <f>IF(F284&gt;='Asumsi &amp; Bobot'!$C$15,"Mendapat Bonus","Tidak Mendapat Bonus")</f>
        <v>Tidak Mendapat Bonus</v>
      </c>
      <c r="H284" s="27">
        <f t="shared" si="4"/>
        <v>0</v>
      </c>
      <c r="I284" s="24">
        <f>IF(G284="Mendapat Bonus",H284*'Asumsi &amp; Bobot'!$C$16,0)</f>
        <v>0</v>
      </c>
    </row>
    <row r="285" spans="1:9" ht="15" customHeight="1" x14ac:dyDescent="0.35">
      <c r="A285" s="18">
        <f>'Vektor S &amp; V'!J285</f>
        <v>249</v>
      </c>
      <c r="B285" s="17" t="str">
        <f>'Vektor S &amp; V'!B285</f>
        <v>Senior Financial Manager</v>
      </c>
      <c r="C285" s="14" t="str">
        <f>'Data Mentah'!C285</f>
        <v>Bachelor's</v>
      </c>
      <c r="D285" s="19">
        <f>'Data Mentah'!E285</f>
        <v>9</v>
      </c>
      <c r="E285" s="20">
        <f>'Data Mentah'!F285</f>
        <v>100000</v>
      </c>
      <c r="F285" s="26">
        <f>'Vektor S &amp; V'!I285</f>
        <v>1.8517567936929395E-3</v>
      </c>
      <c r="G285" s="14" t="str">
        <f>IF(F285&gt;='Asumsi &amp; Bobot'!$C$15,"Mendapat Bonus","Tidak Mendapat Bonus")</f>
        <v>Tidak Mendapat Bonus</v>
      </c>
      <c r="H285" s="26">
        <f t="shared" si="4"/>
        <v>0</v>
      </c>
      <c r="I285" s="20">
        <f>IF(G285="Mendapat Bonus",H285*'Asumsi &amp; Bobot'!$C$16,0)</f>
        <v>0</v>
      </c>
    </row>
    <row r="286" spans="1:9" ht="15" customHeight="1" x14ac:dyDescent="0.35">
      <c r="A286" s="22">
        <f>'Vektor S &amp; V'!J286</f>
        <v>21</v>
      </c>
      <c r="B286" s="8" t="str">
        <f>'Vektor S &amp; V'!B286</f>
        <v>Senior Product Designer</v>
      </c>
      <c r="C286" s="11" t="str">
        <f>'Data Mentah'!C286</f>
        <v>PhD</v>
      </c>
      <c r="D286" s="23">
        <f>'Data Mentah'!E286</f>
        <v>15</v>
      </c>
      <c r="E286" s="24">
        <f>'Data Mentah'!F286</f>
        <v>150000</v>
      </c>
      <c r="F286" s="27">
        <f>'Vektor S &amp; V'!I286</f>
        <v>4.8024443715053875E-3</v>
      </c>
      <c r="G286" s="11" t="str">
        <f>IF(F286&gt;='Asumsi &amp; Bobot'!$C$15,"Mendapat Bonus","Tidak Mendapat Bonus")</f>
        <v>Mendapat Bonus</v>
      </c>
      <c r="H286" s="27">
        <f t="shared" si="4"/>
        <v>1.4530933387824784E-2</v>
      </c>
      <c r="I286" s="24">
        <f>IF(G286="Mendapat Bonus",H286*'Asumsi &amp; Bobot'!$C$16,0)</f>
        <v>726.54666939123922</v>
      </c>
    </row>
    <row r="287" spans="1:9" ht="15" customHeight="1" x14ac:dyDescent="0.35">
      <c r="A287" s="18">
        <f>'Vektor S &amp; V'!J287</f>
        <v>309</v>
      </c>
      <c r="B287" s="17" t="str">
        <f>'Vektor S &amp; V'!B287</f>
        <v>Junior Business Analyst</v>
      </c>
      <c r="C287" s="14" t="str">
        <f>'Data Mentah'!C287</f>
        <v>Bachelor's</v>
      </c>
      <c r="D287" s="19">
        <f>'Data Mentah'!E287</f>
        <v>4</v>
      </c>
      <c r="E287" s="20">
        <f>'Data Mentah'!F287</f>
        <v>60000</v>
      </c>
      <c r="F287" s="26">
        <f>'Vektor S &amp; V'!I287</f>
        <v>1.5749825490046559E-3</v>
      </c>
      <c r="G287" s="14" t="str">
        <f>IF(F287&gt;='Asumsi &amp; Bobot'!$C$15,"Mendapat Bonus","Tidak Mendapat Bonus")</f>
        <v>Tidak Mendapat Bonus</v>
      </c>
      <c r="H287" s="26">
        <f t="shared" si="4"/>
        <v>0</v>
      </c>
      <c r="I287" s="20">
        <f>IF(G287="Mendapat Bonus",H287*'Asumsi &amp; Bobot'!$C$16,0)</f>
        <v>0</v>
      </c>
    </row>
    <row r="288" spans="1:9" ht="15" customHeight="1" x14ac:dyDescent="0.35">
      <c r="A288" s="22">
        <f>'Vektor S &amp; V'!J288</f>
        <v>212</v>
      </c>
      <c r="B288" s="8" t="str">
        <f>'Vektor S &amp; V'!B288</f>
        <v>Senior Marketing Analyst</v>
      </c>
      <c r="C288" s="11" t="str">
        <f>'Data Mentah'!C288</f>
        <v>Bachelor's</v>
      </c>
      <c r="D288" s="23">
        <f>'Data Mentah'!E288</f>
        <v>8</v>
      </c>
      <c r="E288" s="24">
        <f>'Data Mentah'!F288</f>
        <v>85000</v>
      </c>
      <c r="F288" s="27">
        <f>'Vektor S &amp; V'!I288</f>
        <v>2.1313772502352703E-3</v>
      </c>
      <c r="G288" s="11" t="str">
        <f>IF(F288&gt;='Asumsi &amp; Bobot'!$C$15,"Mendapat Bonus","Tidak Mendapat Bonus")</f>
        <v>Tidak Mendapat Bonus</v>
      </c>
      <c r="H288" s="27">
        <f t="shared" si="4"/>
        <v>0</v>
      </c>
      <c r="I288" s="24">
        <f>IF(G288="Mendapat Bonus",H288*'Asumsi &amp; Bobot'!$C$16,0)</f>
        <v>0</v>
      </c>
    </row>
    <row r="289" spans="1:9" ht="15" customHeight="1" x14ac:dyDescent="0.35">
      <c r="A289" s="18">
        <f>'Vektor S &amp; V'!J289</f>
        <v>201</v>
      </c>
      <c r="B289" s="17" t="str">
        <f>'Vektor S &amp; V'!B289</f>
        <v>Senior Software Engineer</v>
      </c>
      <c r="C289" s="14" t="str">
        <f>'Data Mentah'!C289</f>
        <v>Bachelor's</v>
      </c>
      <c r="D289" s="19">
        <f>'Data Mentah'!E289</f>
        <v>13</v>
      </c>
      <c r="E289" s="20">
        <f>'Data Mentah'!F289</f>
        <v>130000</v>
      </c>
      <c r="F289" s="26">
        <f>'Vektor S &amp; V'!I289</f>
        <v>2.1766007580067133E-3</v>
      </c>
      <c r="G289" s="14" t="str">
        <f>IF(F289&gt;='Asumsi &amp; Bobot'!$C$15,"Mendapat Bonus","Tidak Mendapat Bonus")</f>
        <v>Tidak Mendapat Bonus</v>
      </c>
      <c r="H289" s="26">
        <f t="shared" si="4"/>
        <v>0</v>
      </c>
      <c r="I289" s="20">
        <f>IF(G289="Mendapat Bonus",H289*'Asumsi &amp; Bobot'!$C$16,0)</f>
        <v>0</v>
      </c>
    </row>
    <row r="290" spans="1:9" ht="15" customHeight="1" x14ac:dyDescent="0.35">
      <c r="A290" s="22">
        <f>'Vektor S &amp; V'!J290</f>
        <v>321</v>
      </c>
      <c r="B290" s="8" t="str">
        <f>'Vektor S &amp; V'!B290</f>
        <v>Junior Product Manager</v>
      </c>
      <c r="C290" s="11" t="str">
        <f>'Data Mentah'!C290</f>
        <v>Bachelor's</v>
      </c>
      <c r="D290" s="23">
        <f>'Data Mentah'!E290</f>
        <v>4</v>
      </c>
      <c r="E290" s="24">
        <f>'Data Mentah'!F290</f>
        <v>65000</v>
      </c>
      <c r="F290" s="27">
        <f>'Vektor S &amp; V'!I290</f>
        <v>1.539154757694054E-3</v>
      </c>
      <c r="G290" s="11" t="str">
        <f>IF(F290&gt;='Asumsi &amp; Bobot'!$C$15,"Mendapat Bonus","Tidak Mendapat Bonus")</f>
        <v>Tidak Mendapat Bonus</v>
      </c>
      <c r="H290" s="27">
        <f t="shared" si="4"/>
        <v>0</v>
      </c>
      <c r="I290" s="24">
        <f>IF(G290="Mendapat Bonus",H290*'Asumsi &amp; Bobot'!$C$16,0)</f>
        <v>0</v>
      </c>
    </row>
    <row r="291" spans="1:9" ht="15" customHeight="1" x14ac:dyDescent="0.35">
      <c r="A291" s="18">
        <f>'Vektor S &amp; V'!J291</f>
        <v>182</v>
      </c>
      <c r="B291" s="17" t="str">
        <f>'Vektor S &amp; V'!B291</f>
        <v>Senior Business Analyst</v>
      </c>
      <c r="C291" s="14" t="str">
        <f>'Data Mentah'!C291</f>
        <v>Bachelor's</v>
      </c>
      <c r="D291" s="19">
        <f>'Data Mentah'!E291</f>
        <v>10</v>
      </c>
      <c r="E291" s="20">
        <f>'Data Mentah'!F291</f>
        <v>110000</v>
      </c>
      <c r="F291" s="26">
        <f>'Vektor S &amp; V'!I291</f>
        <v>2.2761081911236315E-3</v>
      </c>
      <c r="G291" s="14" t="str">
        <f>IF(F291&gt;='Asumsi &amp; Bobot'!$C$15,"Mendapat Bonus","Tidak Mendapat Bonus")</f>
        <v>Tidak Mendapat Bonus</v>
      </c>
      <c r="H291" s="26">
        <f t="shared" si="4"/>
        <v>0</v>
      </c>
      <c r="I291" s="20">
        <f>IF(G291="Mendapat Bonus",H291*'Asumsi &amp; Bobot'!$C$16,0)</f>
        <v>0</v>
      </c>
    </row>
    <row r="292" spans="1:9" ht="15" customHeight="1" x14ac:dyDescent="0.35">
      <c r="A292" s="22">
        <f>'Vektor S &amp; V'!J292</f>
        <v>33</v>
      </c>
      <c r="B292" s="8" t="str">
        <f>'Vektor S &amp; V'!B292</f>
        <v>Director of Operations</v>
      </c>
      <c r="C292" s="11" t="str">
        <f>'Data Mentah'!C292</f>
        <v>PhD</v>
      </c>
      <c r="D292" s="23">
        <f>'Data Mentah'!E292</f>
        <v>21</v>
      </c>
      <c r="E292" s="24">
        <f>'Data Mentah'!F292</f>
        <v>180000</v>
      </c>
      <c r="F292" s="27">
        <f>'Vektor S &amp; V'!I292</f>
        <v>4.6140010897079472E-3</v>
      </c>
      <c r="G292" s="11" t="str">
        <f>IF(F292&gt;='Asumsi &amp; Bobot'!$C$15,"Mendapat Bonus","Tidak Mendapat Bonus")</f>
        <v>Mendapat Bonus</v>
      </c>
      <c r="H292" s="27">
        <f t="shared" si="4"/>
        <v>1.3960753587007359E-2</v>
      </c>
      <c r="I292" s="24">
        <f>IF(G292="Mendapat Bonus",H292*'Asumsi &amp; Bobot'!$C$16,0)</f>
        <v>698.03767935036797</v>
      </c>
    </row>
    <row r="293" spans="1:9" ht="15" customHeight="1" x14ac:dyDescent="0.35">
      <c r="A293" s="18">
        <f>'Vektor S &amp; V'!J293</f>
        <v>302</v>
      </c>
      <c r="B293" s="17" t="str">
        <f>'Vektor S &amp; V'!B293</f>
        <v>Junior Marketing Specialist</v>
      </c>
      <c r="C293" s="14" t="str">
        <f>'Data Mentah'!C293</f>
        <v>Bachelor's</v>
      </c>
      <c r="D293" s="19">
        <f>'Data Mentah'!E293</f>
        <v>2</v>
      </c>
      <c r="E293" s="20">
        <f>'Data Mentah'!F293</f>
        <v>40000</v>
      </c>
      <c r="F293" s="26">
        <f>'Vektor S &amp; V'!I293</f>
        <v>1.5753991877227921E-3</v>
      </c>
      <c r="G293" s="14" t="str">
        <f>IF(F293&gt;='Asumsi &amp; Bobot'!$C$15,"Mendapat Bonus","Tidak Mendapat Bonus")</f>
        <v>Tidak Mendapat Bonus</v>
      </c>
      <c r="H293" s="26">
        <f t="shared" si="4"/>
        <v>0</v>
      </c>
      <c r="I293" s="20">
        <f>IF(G293="Mendapat Bonus",H293*'Asumsi &amp; Bobot'!$C$16,0)</f>
        <v>0</v>
      </c>
    </row>
    <row r="294" spans="1:9" ht="15" customHeight="1" x14ac:dyDescent="0.35">
      <c r="A294" s="22">
        <f>'Vektor S &amp; V'!J294</f>
        <v>268</v>
      </c>
      <c r="B294" s="8" t="str">
        <f>'Vektor S &amp; V'!B294</f>
        <v>Senior Business Development Manager</v>
      </c>
      <c r="C294" s="11" t="str">
        <f>'Data Mentah'!C294</f>
        <v>Bachelor's</v>
      </c>
      <c r="D294" s="23">
        <f>'Data Mentah'!E294</f>
        <v>7</v>
      </c>
      <c r="E294" s="24">
        <f>'Data Mentah'!F294</f>
        <v>90000</v>
      </c>
      <c r="F294" s="27">
        <f>'Vektor S &amp; V'!I294</f>
        <v>1.7594495694797066E-3</v>
      </c>
      <c r="G294" s="11" t="str">
        <f>IF(F294&gt;='Asumsi &amp; Bobot'!$C$15,"Mendapat Bonus","Tidak Mendapat Bonus")</f>
        <v>Tidak Mendapat Bonus</v>
      </c>
      <c r="H294" s="27">
        <f t="shared" si="4"/>
        <v>0</v>
      </c>
      <c r="I294" s="24">
        <f>IF(G294="Mendapat Bonus",H294*'Asumsi &amp; Bobot'!$C$16,0)</f>
        <v>0</v>
      </c>
    </row>
    <row r="295" spans="1:9" ht="15" customHeight="1" x14ac:dyDescent="0.35">
      <c r="A295" s="18">
        <f>'Vektor S &amp; V'!J295</f>
        <v>69</v>
      </c>
      <c r="B295" s="17" t="str">
        <f>'Vektor S &amp; V'!B295</f>
        <v>Senior HR Manager</v>
      </c>
      <c r="C295" s="14" t="str">
        <f>'Data Mentah'!C295</f>
        <v>Master's</v>
      </c>
      <c r="D295" s="19">
        <f>'Data Mentah'!E295</f>
        <v>14</v>
      </c>
      <c r="E295" s="20">
        <f>'Data Mentah'!F295</f>
        <v>140000</v>
      </c>
      <c r="F295" s="26">
        <f>'Vektor S &amp; V'!I295</f>
        <v>4.0804008847459047E-3</v>
      </c>
      <c r="G295" s="14" t="str">
        <f>IF(F295&gt;='Asumsi &amp; Bobot'!$C$15,"Mendapat Bonus","Tidak Mendapat Bonus")</f>
        <v>Mendapat Bonus</v>
      </c>
      <c r="H295" s="26">
        <f t="shared" si="4"/>
        <v>1.2346219730032647E-2</v>
      </c>
      <c r="I295" s="20">
        <f>IF(G295="Mendapat Bonus",H295*'Asumsi &amp; Bobot'!$C$16,0)</f>
        <v>617.31098650163233</v>
      </c>
    </row>
    <row r="296" spans="1:9" ht="15" customHeight="1" x14ac:dyDescent="0.35">
      <c r="A296" s="22">
        <f>'Vektor S &amp; V'!J296</f>
        <v>309</v>
      </c>
      <c r="B296" s="8" t="str">
        <f>'Vektor S &amp; V'!B296</f>
        <v>Junior Financial Analyst</v>
      </c>
      <c r="C296" s="11" t="str">
        <f>'Data Mentah'!C296</f>
        <v>Bachelor's</v>
      </c>
      <c r="D296" s="23">
        <f>'Data Mentah'!E296</f>
        <v>4</v>
      </c>
      <c r="E296" s="24">
        <f>'Data Mentah'!F296</f>
        <v>60000</v>
      </c>
      <c r="F296" s="27">
        <f>'Vektor S &amp; V'!I296</f>
        <v>1.5749825490046559E-3</v>
      </c>
      <c r="G296" s="11" t="str">
        <f>IF(F296&gt;='Asumsi &amp; Bobot'!$C$15,"Mendapat Bonus","Tidak Mendapat Bonus")</f>
        <v>Tidak Mendapat Bonus</v>
      </c>
      <c r="H296" s="27">
        <f t="shared" si="4"/>
        <v>0</v>
      </c>
      <c r="I296" s="24">
        <f>IF(G296="Mendapat Bonus",H296*'Asumsi &amp; Bobot'!$C$16,0)</f>
        <v>0</v>
      </c>
    </row>
    <row r="297" spans="1:9" ht="15" customHeight="1" x14ac:dyDescent="0.35">
      <c r="A297" s="18">
        <f>'Vektor S &amp; V'!J297</f>
        <v>172</v>
      </c>
      <c r="B297" s="17" t="str">
        <f>'Vektor S &amp; V'!B297</f>
        <v>Senior Marketing Manager</v>
      </c>
      <c r="C297" s="14" t="str">
        <f>'Data Mentah'!C297</f>
        <v>Bachelor's</v>
      </c>
      <c r="D297" s="19">
        <f>'Data Mentah'!E297</f>
        <v>12</v>
      </c>
      <c r="E297" s="20">
        <f>'Data Mentah'!F297</f>
        <v>130000</v>
      </c>
      <c r="F297" s="26">
        <f>'Vektor S &amp; V'!I297</f>
        <v>2.3953442453485607E-3</v>
      </c>
      <c r="G297" s="14" t="str">
        <f>IF(F297&gt;='Asumsi &amp; Bobot'!$C$15,"Mendapat Bonus","Tidak Mendapat Bonus")</f>
        <v>Tidak Mendapat Bonus</v>
      </c>
      <c r="H297" s="26">
        <f t="shared" si="4"/>
        <v>0</v>
      </c>
      <c r="I297" s="20">
        <f>IF(G297="Mendapat Bonus",H297*'Asumsi &amp; Bobot'!$C$16,0)</f>
        <v>0</v>
      </c>
    </row>
    <row r="298" spans="1:9" ht="15" customHeight="1" x14ac:dyDescent="0.35">
      <c r="A298" s="22">
        <f>'Vektor S &amp; V'!J298</f>
        <v>61</v>
      </c>
      <c r="B298" s="8" t="str">
        <f>'Vektor S &amp; V'!B298</f>
        <v>Senior Data Scientist</v>
      </c>
      <c r="C298" s="11" t="str">
        <f>'Data Mentah'!C298</f>
        <v>PhD</v>
      </c>
      <c r="D298" s="23">
        <f>'Data Mentah'!E298</f>
        <v>16</v>
      </c>
      <c r="E298" s="24">
        <f>'Data Mentah'!F298</f>
        <v>160000</v>
      </c>
      <c r="F298" s="27">
        <f>'Vektor S &amp; V'!I298</f>
        <v>4.1643024131025035E-3</v>
      </c>
      <c r="G298" s="11" t="str">
        <f>IF(F298&gt;='Asumsi &amp; Bobot'!$C$15,"Mendapat Bonus","Tidak Mendapat Bonus")</f>
        <v>Mendapat Bonus</v>
      </c>
      <c r="H298" s="27">
        <f t="shared" si="4"/>
        <v>1.2600083684588828E-2</v>
      </c>
      <c r="I298" s="24">
        <f>IF(G298="Mendapat Bonus",H298*'Asumsi &amp; Bobot'!$C$16,0)</f>
        <v>630.00418422944142</v>
      </c>
    </row>
    <row r="299" spans="1:9" ht="15" customHeight="1" x14ac:dyDescent="0.35">
      <c r="A299" s="18">
        <f>'Vektor S &amp; V'!J299</f>
        <v>297</v>
      </c>
      <c r="B299" s="17" t="str">
        <f>'Vektor S &amp; V'!B299</f>
        <v>Junior Operations Coordinator</v>
      </c>
      <c r="C299" s="14" t="str">
        <f>'Data Mentah'!C299</f>
        <v>Bachelor's</v>
      </c>
      <c r="D299" s="19">
        <f>'Data Mentah'!E299</f>
        <v>2</v>
      </c>
      <c r="E299" s="20">
        <f>'Data Mentah'!F299</f>
        <v>40000</v>
      </c>
      <c r="F299" s="26">
        <f>'Vektor S &amp; V'!I299</f>
        <v>1.6077975025042726E-3</v>
      </c>
      <c r="G299" s="14" t="str">
        <f>IF(F299&gt;='Asumsi &amp; Bobot'!$C$15,"Mendapat Bonus","Tidak Mendapat Bonus")</f>
        <v>Tidak Mendapat Bonus</v>
      </c>
      <c r="H299" s="26">
        <f t="shared" si="4"/>
        <v>0</v>
      </c>
      <c r="I299" s="20">
        <f>IF(G299="Mendapat Bonus",H299*'Asumsi &amp; Bobot'!$C$16,0)</f>
        <v>0</v>
      </c>
    </row>
    <row r="300" spans="1:9" ht="15" customHeight="1" x14ac:dyDescent="0.35">
      <c r="A300" s="22">
        <f>'Vektor S &amp; V'!J300</f>
        <v>237</v>
      </c>
      <c r="B300" s="8" t="str">
        <f>'Vektor S &amp; V'!B300</f>
        <v>Senior Marketing Analyst</v>
      </c>
      <c r="C300" s="11" t="str">
        <f>'Data Mentah'!C300</f>
        <v>Bachelor's</v>
      </c>
      <c r="D300" s="23">
        <f>'Data Mentah'!E300</f>
        <v>9</v>
      </c>
      <c r="E300" s="24">
        <f>'Data Mentah'!F300</f>
        <v>100000</v>
      </c>
      <c r="F300" s="27">
        <f>'Vektor S &amp; V'!I300</f>
        <v>1.8977239956974909E-3</v>
      </c>
      <c r="G300" s="11" t="str">
        <f>IF(F300&gt;='Asumsi &amp; Bobot'!$C$15,"Mendapat Bonus","Tidak Mendapat Bonus")</f>
        <v>Tidak Mendapat Bonus</v>
      </c>
      <c r="H300" s="27">
        <f t="shared" si="4"/>
        <v>0</v>
      </c>
      <c r="I300" s="24">
        <f>IF(G300="Mendapat Bonus",H300*'Asumsi &amp; Bobot'!$C$16,0)</f>
        <v>0</v>
      </c>
    </row>
    <row r="301" spans="1:9" ht="15" customHeight="1" x14ac:dyDescent="0.35">
      <c r="A301" s="18">
        <f>'Vektor S &amp; V'!J301</f>
        <v>43</v>
      </c>
      <c r="B301" s="17" t="str">
        <f>'Vektor S &amp; V'!B301</f>
        <v>Director of HR</v>
      </c>
      <c r="C301" s="14" t="str">
        <f>'Data Mentah'!C301</f>
        <v>Master's</v>
      </c>
      <c r="D301" s="19">
        <f>'Data Mentah'!E301</f>
        <v>20</v>
      </c>
      <c r="E301" s="20">
        <f>'Data Mentah'!F301</f>
        <v>180000</v>
      </c>
      <c r="F301" s="26">
        <f>'Vektor S &amp; V'!I301</f>
        <v>4.4902965441089441E-3</v>
      </c>
      <c r="G301" s="14" t="str">
        <f>IF(F301&gt;='Asumsi &amp; Bobot'!$C$15,"Mendapat Bonus","Tidak Mendapat Bonus")</f>
        <v>Mendapat Bonus</v>
      </c>
      <c r="H301" s="26">
        <f t="shared" si="4"/>
        <v>1.3586456172437457E-2</v>
      </c>
      <c r="I301" s="20">
        <f>IF(G301="Mendapat Bonus",H301*'Asumsi &amp; Bobot'!$C$16,0)</f>
        <v>679.32280862187281</v>
      </c>
    </row>
    <row r="302" spans="1:9" ht="15" customHeight="1" x14ac:dyDescent="0.35">
      <c r="A302" s="22">
        <f>'Vektor S &amp; V'!J302</f>
        <v>334</v>
      </c>
      <c r="B302" s="8" t="str">
        <f>'Vektor S &amp; V'!B302</f>
        <v>Junior Project Manager</v>
      </c>
      <c r="C302" s="11" t="str">
        <f>'Data Mentah'!C302</f>
        <v>Bachelor's</v>
      </c>
      <c r="D302" s="23">
        <f>'Data Mentah'!E302</f>
        <v>3</v>
      </c>
      <c r="E302" s="24">
        <f>'Data Mentah'!F302</f>
        <v>55000</v>
      </c>
      <c r="F302" s="27">
        <f>'Vektor S &amp; V'!I302</f>
        <v>1.457009478348069E-3</v>
      </c>
      <c r="G302" s="11" t="str">
        <f>IF(F302&gt;='Asumsi &amp; Bobot'!$C$15,"Mendapat Bonus","Tidak Mendapat Bonus")</f>
        <v>Tidak Mendapat Bonus</v>
      </c>
      <c r="H302" s="27">
        <f t="shared" si="4"/>
        <v>0</v>
      </c>
      <c r="I302" s="24">
        <f>IF(G302="Mendapat Bonus",H302*'Asumsi &amp; Bobot'!$C$16,0)</f>
        <v>0</v>
      </c>
    </row>
    <row r="303" spans="1:9" ht="15" customHeight="1" x14ac:dyDescent="0.35">
      <c r="A303" s="18">
        <f>'Vektor S &amp; V'!J303</f>
        <v>198</v>
      </c>
      <c r="B303" s="17" t="str">
        <f>'Vektor S &amp; V'!B303</f>
        <v>Senior Operations Coordinator</v>
      </c>
      <c r="C303" s="14" t="str">
        <f>'Data Mentah'!C303</f>
        <v>Bachelor's</v>
      </c>
      <c r="D303" s="19">
        <f>'Data Mentah'!E303</f>
        <v>9</v>
      </c>
      <c r="E303" s="20">
        <f>'Data Mentah'!F303</f>
        <v>120000</v>
      </c>
      <c r="F303" s="26">
        <f>'Vektor S &amp; V'!I303</f>
        <v>2.1944574219895973E-3</v>
      </c>
      <c r="G303" s="14" t="str">
        <f>IF(F303&gt;='Asumsi &amp; Bobot'!$C$15,"Mendapat Bonus","Tidak Mendapat Bonus")</f>
        <v>Tidak Mendapat Bonus</v>
      </c>
      <c r="H303" s="26">
        <f t="shared" si="4"/>
        <v>0</v>
      </c>
      <c r="I303" s="20">
        <f>IF(G303="Mendapat Bonus",H303*'Asumsi &amp; Bobot'!$C$16,0)</f>
        <v>0</v>
      </c>
    </row>
    <row r="304" spans="1:9" ht="15" customHeight="1" x14ac:dyDescent="0.35">
      <c r="A304" s="22">
        <f>'Vektor S &amp; V'!J304</f>
        <v>57</v>
      </c>
      <c r="B304" s="8" t="str">
        <f>'Vektor S &amp; V'!B304</f>
        <v>Senior Data Engineer</v>
      </c>
      <c r="C304" s="11" t="str">
        <f>'Data Mentah'!C304</f>
        <v>PhD</v>
      </c>
      <c r="D304" s="23">
        <f>'Data Mentah'!E304</f>
        <v>16</v>
      </c>
      <c r="E304" s="24">
        <f>'Data Mentah'!F304</f>
        <v>150000</v>
      </c>
      <c r="F304" s="27">
        <f>'Vektor S &amp; V'!I304</f>
        <v>4.2287894604898651E-3</v>
      </c>
      <c r="G304" s="11" t="str">
        <f>IF(F304&gt;='Asumsi &amp; Bobot'!$C$15,"Mendapat Bonus","Tidak Mendapat Bonus")</f>
        <v>Mendapat Bonus</v>
      </c>
      <c r="H304" s="27">
        <f t="shared" si="4"/>
        <v>1.2795204526700637E-2</v>
      </c>
      <c r="I304" s="24">
        <f>IF(G304="Mendapat Bonus",H304*'Asumsi &amp; Bobot'!$C$16,0)</f>
        <v>639.76022633503192</v>
      </c>
    </row>
    <row r="305" spans="1:9" ht="15" customHeight="1" x14ac:dyDescent="0.35">
      <c r="A305" s="18">
        <f>'Vektor S &amp; V'!J305</f>
        <v>238</v>
      </c>
      <c r="B305" s="17" t="str">
        <f>'Vektor S &amp; V'!B305</f>
        <v>Junior Marketing Manager</v>
      </c>
      <c r="C305" s="14" t="str">
        <f>'Data Mentah'!C305</f>
        <v>Bachelor's</v>
      </c>
      <c r="D305" s="19">
        <f>'Data Mentah'!E305</f>
        <v>5</v>
      </c>
      <c r="E305" s="20">
        <f>'Data Mentah'!F305</f>
        <v>70000</v>
      </c>
      <c r="F305" s="26">
        <f>'Vektor S &amp; V'!I305</f>
        <v>1.8949222211847969E-3</v>
      </c>
      <c r="G305" s="14" t="str">
        <f>IF(F305&gt;='Asumsi &amp; Bobot'!$C$15,"Mendapat Bonus","Tidak Mendapat Bonus")</f>
        <v>Tidak Mendapat Bonus</v>
      </c>
      <c r="H305" s="26">
        <f t="shared" si="4"/>
        <v>0</v>
      </c>
      <c r="I305" s="20">
        <f>IF(G305="Mendapat Bonus",H305*'Asumsi &amp; Bobot'!$C$16,0)</f>
        <v>0</v>
      </c>
    </row>
    <row r="306" spans="1:9" ht="15" customHeight="1" x14ac:dyDescent="0.35">
      <c r="A306" s="22">
        <f>'Vektor S &amp; V'!J306</f>
        <v>252</v>
      </c>
      <c r="B306" s="8" t="str">
        <f>'Vektor S &amp; V'!B306</f>
        <v>Senior Business Analyst</v>
      </c>
      <c r="C306" s="11" t="str">
        <f>'Data Mentah'!C306</f>
        <v>Bachelor's</v>
      </c>
      <c r="D306" s="23">
        <f>'Data Mentah'!E306</f>
        <v>8</v>
      </c>
      <c r="E306" s="24">
        <f>'Data Mentah'!F306</f>
        <v>95000</v>
      </c>
      <c r="F306" s="27">
        <f>'Vektor S &amp; V'!I306</f>
        <v>1.8303978360279275E-3</v>
      </c>
      <c r="G306" s="11" t="str">
        <f>IF(F306&gt;='Asumsi &amp; Bobot'!$C$15,"Mendapat Bonus","Tidak Mendapat Bonus")</f>
        <v>Tidak Mendapat Bonus</v>
      </c>
      <c r="H306" s="27">
        <f t="shared" si="4"/>
        <v>0</v>
      </c>
      <c r="I306" s="24">
        <f>IF(G306="Mendapat Bonus",H306*'Asumsi &amp; Bobot'!$C$16,0)</f>
        <v>0</v>
      </c>
    </row>
    <row r="307" spans="1:9" ht="15" customHeight="1" x14ac:dyDescent="0.35">
      <c r="A307" s="18">
        <f>'Vektor S &amp; V'!J307</f>
        <v>34</v>
      </c>
      <c r="B307" s="17" t="str">
        <f>'Vektor S &amp; V'!B307</f>
        <v>Director of Marketing</v>
      </c>
      <c r="C307" s="14" t="str">
        <f>'Data Mentah'!C307</f>
        <v>Master's</v>
      </c>
      <c r="D307" s="19">
        <f>'Data Mentah'!E307</f>
        <v>21</v>
      </c>
      <c r="E307" s="20">
        <f>'Data Mentah'!F307</f>
        <v>180000</v>
      </c>
      <c r="F307" s="26">
        <f>'Vektor S &amp; V'!I307</f>
        <v>4.5867782375594874E-3</v>
      </c>
      <c r="G307" s="14" t="str">
        <f>IF(F307&gt;='Asumsi &amp; Bobot'!$C$15,"Mendapat Bonus","Tidak Mendapat Bonus")</f>
        <v>Mendapat Bonus</v>
      </c>
      <c r="H307" s="26">
        <f t="shared" si="4"/>
        <v>1.3878384397362404E-2</v>
      </c>
      <c r="I307" s="20">
        <f>IF(G307="Mendapat Bonus",H307*'Asumsi &amp; Bobot'!$C$16,0)</f>
        <v>693.91921986812019</v>
      </c>
    </row>
    <row r="308" spans="1:9" ht="15" customHeight="1" x14ac:dyDescent="0.35">
      <c r="A308" s="22">
        <f>'Vektor S &amp; V'!J308</f>
        <v>330</v>
      </c>
      <c r="B308" s="8" t="str">
        <f>'Vektor S &amp; V'!B308</f>
        <v>Junior Operations Analyst</v>
      </c>
      <c r="C308" s="11" t="str">
        <f>'Data Mentah'!C308</f>
        <v>Bachelor's</v>
      </c>
      <c r="D308" s="23">
        <f>'Data Mentah'!E308</f>
        <v>3</v>
      </c>
      <c r="E308" s="24">
        <f>'Data Mentah'!F308</f>
        <v>50000</v>
      </c>
      <c r="F308" s="27">
        <f>'Vektor S &amp; V'!I308</f>
        <v>1.4692229883546909E-3</v>
      </c>
      <c r="G308" s="11" t="str">
        <f>IF(F308&gt;='Asumsi &amp; Bobot'!$C$15,"Mendapat Bonus","Tidak Mendapat Bonus")</f>
        <v>Tidak Mendapat Bonus</v>
      </c>
      <c r="H308" s="27">
        <f t="shared" si="4"/>
        <v>0</v>
      </c>
      <c r="I308" s="24">
        <f>IF(G308="Mendapat Bonus",H308*'Asumsi &amp; Bobot'!$C$16,0)</f>
        <v>0</v>
      </c>
    </row>
    <row r="309" spans="1:9" ht="15" customHeight="1" x14ac:dyDescent="0.35">
      <c r="A309" s="18">
        <f>'Vektor S &amp; V'!J309</f>
        <v>164</v>
      </c>
      <c r="B309" s="17" t="str">
        <f>'Vektor S &amp; V'!B309</f>
        <v>Senior Project Manager</v>
      </c>
      <c r="C309" s="14" t="str">
        <f>'Data Mentah'!C309</f>
        <v>Bachelor's</v>
      </c>
      <c r="D309" s="19">
        <f>'Data Mentah'!E309</f>
        <v>12</v>
      </c>
      <c r="E309" s="20">
        <f>'Data Mentah'!F309</f>
        <v>120000</v>
      </c>
      <c r="F309" s="26">
        <f>'Vektor S &amp; V'!I309</f>
        <v>2.4621707823498915E-3</v>
      </c>
      <c r="G309" s="14" t="str">
        <f>IF(F309&gt;='Asumsi &amp; Bobot'!$C$15,"Mendapat Bonus","Tidak Mendapat Bonus")</f>
        <v>Tidak Mendapat Bonus</v>
      </c>
      <c r="H309" s="26">
        <f t="shared" si="4"/>
        <v>0</v>
      </c>
      <c r="I309" s="20">
        <f>IF(G309="Mendapat Bonus",H309*'Asumsi &amp; Bobot'!$C$16,0)</f>
        <v>0</v>
      </c>
    </row>
    <row r="310" spans="1:9" ht="15" customHeight="1" x14ac:dyDescent="0.35">
      <c r="A310" s="22">
        <f>'Vektor S &amp; V'!J310</f>
        <v>91</v>
      </c>
      <c r="B310" s="8" t="str">
        <f>'Vektor S &amp; V'!B310</f>
        <v>Director of Marketing</v>
      </c>
      <c r="C310" s="11" t="str">
        <f>'Data Mentah'!C310</f>
        <v>Master's</v>
      </c>
      <c r="D310" s="23">
        <f>'Data Mentah'!E310</f>
        <v>19</v>
      </c>
      <c r="E310" s="24">
        <f>'Data Mentah'!F310</f>
        <v>170000</v>
      </c>
      <c r="F310" s="27">
        <f>'Vektor S &amp; V'!I310</f>
        <v>3.7918380737221153E-3</v>
      </c>
      <c r="G310" s="11" t="str">
        <f>IF(F310&gt;='Asumsi &amp; Bobot'!$C$15,"Mendapat Bonus","Tidak Mendapat Bonus")</f>
        <v>Tidak Mendapat Bonus</v>
      </c>
      <c r="H310" s="27">
        <f t="shared" si="4"/>
        <v>0</v>
      </c>
      <c r="I310" s="24">
        <f>IF(G310="Mendapat Bonus",H310*'Asumsi &amp; Bobot'!$C$16,0)</f>
        <v>0</v>
      </c>
    </row>
    <row r="311" spans="1:9" ht="15" customHeight="1" x14ac:dyDescent="0.35">
      <c r="A311" s="18">
        <f>'Vektor S &amp; V'!J311</f>
        <v>323</v>
      </c>
      <c r="B311" s="17" t="str">
        <f>'Vektor S &amp; V'!B311</f>
        <v>Junior Business Development Associate</v>
      </c>
      <c r="C311" s="14" t="str">
        <f>'Data Mentah'!C311</f>
        <v>Bachelor's</v>
      </c>
      <c r="D311" s="19">
        <f>'Data Mentah'!E311</f>
        <v>1.5</v>
      </c>
      <c r="E311" s="20">
        <f>'Data Mentah'!F311</f>
        <v>35000</v>
      </c>
      <c r="F311" s="26">
        <f>'Vektor S &amp; V'!I311</f>
        <v>1.5340947409790428E-3</v>
      </c>
      <c r="G311" s="14" t="str">
        <f>IF(F311&gt;='Asumsi &amp; Bobot'!$C$15,"Mendapat Bonus","Tidak Mendapat Bonus")</f>
        <v>Tidak Mendapat Bonus</v>
      </c>
      <c r="H311" s="26">
        <f t="shared" si="4"/>
        <v>0</v>
      </c>
      <c r="I311" s="20">
        <f>IF(G311="Mendapat Bonus",H311*'Asumsi &amp; Bobot'!$C$16,0)</f>
        <v>0</v>
      </c>
    </row>
    <row r="312" spans="1:9" ht="15" customHeight="1" x14ac:dyDescent="0.35">
      <c r="A312" s="22">
        <f>'Vektor S &amp; V'!J312</f>
        <v>249</v>
      </c>
      <c r="B312" s="8" t="str">
        <f>'Vektor S &amp; V'!B312</f>
        <v>Senior Financial Manager</v>
      </c>
      <c r="C312" s="11" t="str">
        <f>'Data Mentah'!C312</f>
        <v>Bachelor's</v>
      </c>
      <c r="D312" s="23">
        <f>'Data Mentah'!E312</f>
        <v>9</v>
      </c>
      <c r="E312" s="24">
        <f>'Data Mentah'!F312</f>
        <v>100000</v>
      </c>
      <c r="F312" s="27">
        <f>'Vektor S &amp; V'!I312</f>
        <v>1.8517567936929395E-3</v>
      </c>
      <c r="G312" s="11" t="str">
        <f>IF(F312&gt;='Asumsi &amp; Bobot'!$C$15,"Mendapat Bonus","Tidak Mendapat Bonus")</f>
        <v>Tidak Mendapat Bonus</v>
      </c>
      <c r="H312" s="27">
        <f t="shared" si="4"/>
        <v>0</v>
      </c>
      <c r="I312" s="24">
        <f>IF(G312="Mendapat Bonus",H312*'Asumsi &amp; Bobot'!$C$16,0)</f>
        <v>0</v>
      </c>
    </row>
    <row r="313" spans="1:9" ht="15" customHeight="1" x14ac:dyDescent="0.35">
      <c r="A313" s="18">
        <f>'Vektor S &amp; V'!J313</f>
        <v>21</v>
      </c>
      <c r="B313" s="17" t="str">
        <f>'Vektor S &amp; V'!B313</f>
        <v>Senior Product Designer</v>
      </c>
      <c r="C313" s="14" t="str">
        <f>'Data Mentah'!C313</f>
        <v>PhD</v>
      </c>
      <c r="D313" s="19">
        <f>'Data Mentah'!E313</f>
        <v>15</v>
      </c>
      <c r="E313" s="20">
        <f>'Data Mentah'!F313</f>
        <v>150000</v>
      </c>
      <c r="F313" s="26">
        <f>'Vektor S &amp; V'!I313</f>
        <v>4.8024443715053875E-3</v>
      </c>
      <c r="G313" s="14" t="str">
        <f>IF(F313&gt;='Asumsi &amp; Bobot'!$C$15,"Mendapat Bonus","Tidak Mendapat Bonus")</f>
        <v>Mendapat Bonus</v>
      </c>
      <c r="H313" s="26">
        <f t="shared" si="4"/>
        <v>1.4530933387824784E-2</v>
      </c>
      <c r="I313" s="20">
        <f>IF(G313="Mendapat Bonus",H313*'Asumsi &amp; Bobot'!$C$16,0)</f>
        <v>726.54666939123922</v>
      </c>
    </row>
    <row r="314" spans="1:9" ht="15" customHeight="1" x14ac:dyDescent="0.35">
      <c r="A314" s="22">
        <f>'Vektor S &amp; V'!J314</f>
        <v>309</v>
      </c>
      <c r="B314" s="8" t="str">
        <f>'Vektor S &amp; V'!B314</f>
        <v>Junior Business Analyst</v>
      </c>
      <c r="C314" s="11" t="str">
        <f>'Data Mentah'!C314</f>
        <v>Bachelor's</v>
      </c>
      <c r="D314" s="23">
        <f>'Data Mentah'!E314</f>
        <v>4</v>
      </c>
      <c r="E314" s="24">
        <f>'Data Mentah'!F314</f>
        <v>60000</v>
      </c>
      <c r="F314" s="27">
        <f>'Vektor S &amp; V'!I314</f>
        <v>1.5749825490046559E-3</v>
      </c>
      <c r="G314" s="11" t="str">
        <f>IF(F314&gt;='Asumsi &amp; Bobot'!$C$15,"Mendapat Bonus","Tidak Mendapat Bonus")</f>
        <v>Tidak Mendapat Bonus</v>
      </c>
      <c r="H314" s="27">
        <f t="shared" si="4"/>
        <v>0</v>
      </c>
      <c r="I314" s="24">
        <f>IF(G314="Mendapat Bonus",H314*'Asumsi &amp; Bobot'!$C$16,0)</f>
        <v>0</v>
      </c>
    </row>
    <row r="315" spans="1:9" ht="15" customHeight="1" x14ac:dyDescent="0.35">
      <c r="A315" s="18">
        <f>'Vektor S &amp; V'!J315</f>
        <v>212</v>
      </c>
      <c r="B315" s="17" t="str">
        <f>'Vektor S &amp; V'!B315</f>
        <v>Senior Marketing Analyst</v>
      </c>
      <c r="C315" s="14" t="str">
        <f>'Data Mentah'!C315</f>
        <v>Bachelor's</v>
      </c>
      <c r="D315" s="19">
        <f>'Data Mentah'!E315</f>
        <v>8</v>
      </c>
      <c r="E315" s="20">
        <f>'Data Mentah'!F315</f>
        <v>85000</v>
      </c>
      <c r="F315" s="26">
        <f>'Vektor S &amp; V'!I315</f>
        <v>2.1313772502352703E-3</v>
      </c>
      <c r="G315" s="14" t="str">
        <f>IF(F315&gt;='Asumsi &amp; Bobot'!$C$15,"Mendapat Bonus","Tidak Mendapat Bonus")</f>
        <v>Tidak Mendapat Bonus</v>
      </c>
      <c r="H315" s="26">
        <f t="shared" si="4"/>
        <v>0</v>
      </c>
      <c r="I315" s="20">
        <f>IF(G315="Mendapat Bonus",H315*'Asumsi &amp; Bobot'!$C$16,0)</f>
        <v>0</v>
      </c>
    </row>
    <row r="316" spans="1:9" ht="15" customHeight="1" x14ac:dyDescent="0.35">
      <c r="A316" s="22">
        <f>'Vektor S &amp; V'!J316</f>
        <v>201</v>
      </c>
      <c r="B316" s="8" t="str">
        <f>'Vektor S &amp; V'!B316</f>
        <v>Senior Software Engineer</v>
      </c>
      <c r="C316" s="11" t="str">
        <f>'Data Mentah'!C316</f>
        <v>Bachelor's</v>
      </c>
      <c r="D316" s="23">
        <f>'Data Mentah'!E316</f>
        <v>13</v>
      </c>
      <c r="E316" s="24">
        <f>'Data Mentah'!F316</f>
        <v>130000</v>
      </c>
      <c r="F316" s="27">
        <f>'Vektor S &amp; V'!I316</f>
        <v>2.1766007580067133E-3</v>
      </c>
      <c r="G316" s="11" t="str">
        <f>IF(F316&gt;='Asumsi &amp; Bobot'!$C$15,"Mendapat Bonus","Tidak Mendapat Bonus")</f>
        <v>Tidak Mendapat Bonus</v>
      </c>
      <c r="H316" s="27">
        <f t="shared" si="4"/>
        <v>0</v>
      </c>
      <c r="I316" s="24">
        <f>IF(G316="Mendapat Bonus",H316*'Asumsi &amp; Bobot'!$C$16,0)</f>
        <v>0</v>
      </c>
    </row>
    <row r="317" spans="1:9" ht="15" customHeight="1" x14ac:dyDescent="0.35">
      <c r="A317" s="18">
        <f>'Vektor S &amp; V'!J317</f>
        <v>118</v>
      </c>
      <c r="B317" s="17" t="str">
        <f>'Vektor S &amp; V'!B317</f>
        <v>Senior Financial Advisor</v>
      </c>
      <c r="C317" s="14" t="str">
        <f>'Data Mentah'!C317</f>
        <v>Master's</v>
      </c>
      <c r="D317" s="19">
        <f>'Data Mentah'!E317</f>
        <v>6</v>
      </c>
      <c r="E317" s="20">
        <f>'Data Mentah'!F317</f>
        <v>80000</v>
      </c>
      <c r="F317" s="26">
        <f>'Vektor S &amp; V'!I317</f>
        <v>3.1128115129859138E-3</v>
      </c>
      <c r="G317" s="14" t="str">
        <f>IF(F317&gt;='Asumsi &amp; Bobot'!$C$15,"Mendapat Bonus","Tidak Mendapat Bonus")</f>
        <v>Tidak Mendapat Bonus</v>
      </c>
      <c r="H317" s="26">
        <f t="shared" si="4"/>
        <v>0</v>
      </c>
      <c r="I317" s="20">
        <f>IF(G317="Mendapat Bonus",H317*'Asumsi &amp; Bobot'!$C$16,0)</f>
        <v>0</v>
      </c>
    </row>
    <row r="318" spans="1:9" ht="15" customHeight="1" x14ac:dyDescent="0.35">
      <c r="A318" s="22">
        <f>'Vektor S &amp; V'!J318</f>
        <v>252</v>
      </c>
      <c r="B318" s="8" t="str">
        <f>'Vektor S &amp; V'!B318</f>
        <v>Senior Marketing Specialist</v>
      </c>
      <c r="C318" s="11" t="str">
        <f>'Data Mentah'!C318</f>
        <v>Bachelor's</v>
      </c>
      <c r="D318" s="23">
        <f>'Data Mentah'!E318</f>
        <v>8</v>
      </c>
      <c r="E318" s="24">
        <f>'Data Mentah'!F318</f>
        <v>95000</v>
      </c>
      <c r="F318" s="27">
        <f>'Vektor S &amp; V'!I318</f>
        <v>1.8303978360279275E-3</v>
      </c>
      <c r="G318" s="11" t="str">
        <f>IF(F318&gt;='Asumsi &amp; Bobot'!$C$15,"Mendapat Bonus","Tidak Mendapat Bonus")</f>
        <v>Tidak Mendapat Bonus</v>
      </c>
      <c r="H318" s="27">
        <f t="shared" si="4"/>
        <v>0</v>
      </c>
      <c r="I318" s="24">
        <f>IF(G318="Mendapat Bonus",H318*'Asumsi &amp; Bobot'!$C$16,0)</f>
        <v>0</v>
      </c>
    </row>
    <row r="319" spans="1:9" ht="15" customHeight="1" x14ac:dyDescent="0.35">
      <c r="A319" s="18">
        <f>'Vektor S &amp; V'!J319</f>
        <v>297</v>
      </c>
      <c r="B319" s="17" t="str">
        <f>'Vektor S &amp; V'!B319</f>
        <v>Junior HR Coordinator</v>
      </c>
      <c r="C319" s="14" t="str">
        <f>'Data Mentah'!C319</f>
        <v>Bachelor's</v>
      </c>
      <c r="D319" s="19">
        <f>'Data Mentah'!E319</f>
        <v>2</v>
      </c>
      <c r="E319" s="20">
        <f>'Data Mentah'!F319</f>
        <v>40000</v>
      </c>
      <c r="F319" s="26">
        <f>'Vektor S &amp; V'!I319</f>
        <v>1.6077975025042726E-3</v>
      </c>
      <c r="G319" s="14" t="str">
        <f>IF(F319&gt;='Asumsi &amp; Bobot'!$C$15,"Mendapat Bonus","Tidak Mendapat Bonus")</f>
        <v>Tidak Mendapat Bonus</v>
      </c>
      <c r="H319" s="26">
        <f t="shared" si="4"/>
        <v>0</v>
      </c>
      <c r="I319" s="20">
        <f>IF(G319="Mendapat Bonus",H319*'Asumsi &amp; Bobot'!$C$16,0)</f>
        <v>0</v>
      </c>
    </row>
    <row r="320" spans="1:9" ht="15" customHeight="1" x14ac:dyDescent="0.35">
      <c r="A320" s="22">
        <f>'Vektor S &amp; V'!J320</f>
        <v>232</v>
      </c>
      <c r="B320" s="8" t="str">
        <f>'Vektor S &amp; V'!B320</f>
        <v>Senior Business Development Manager</v>
      </c>
      <c r="C320" s="11" t="str">
        <f>'Data Mentah'!C320</f>
        <v>Bachelor's</v>
      </c>
      <c r="D320" s="23">
        <f>'Data Mentah'!E320</f>
        <v>10</v>
      </c>
      <c r="E320" s="24">
        <f>'Data Mentah'!F320</f>
        <v>120000</v>
      </c>
      <c r="F320" s="27">
        <f>'Vektor S &amp; V'!I320</f>
        <v>1.9124317625419404E-3</v>
      </c>
      <c r="G320" s="11" t="str">
        <f>IF(F320&gt;='Asumsi &amp; Bobot'!$C$15,"Mendapat Bonus","Tidak Mendapat Bonus")</f>
        <v>Tidak Mendapat Bonus</v>
      </c>
      <c r="H320" s="27">
        <f t="shared" si="4"/>
        <v>0</v>
      </c>
      <c r="I320" s="24">
        <f>IF(G320="Mendapat Bonus",H320*'Asumsi &amp; Bobot'!$C$16,0)</f>
        <v>0</v>
      </c>
    </row>
    <row r="321" spans="1:9" ht="15" customHeight="1" x14ac:dyDescent="0.35">
      <c r="A321" s="18">
        <f>'Vektor S &amp; V'!J321</f>
        <v>59</v>
      </c>
      <c r="B321" s="17" t="str">
        <f>'Vektor S &amp; V'!B321</f>
        <v>Senior Marketing Manager</v>
      </c>
      <c r="C321" s="14" t="str">
        <f>'Data Mentah'!C321</f>
        <v>Master's</v>
      </c>
      <c r="D321" s="19">
        <f>'Data Mentah'!E321</f>
        <v>16</v>
      </c>
      <c r="E321" s="20">
        <f>'Data Mentah'!F321</f>
        <v>160000</v>
      </c>
      <c r="F321" s="26">
        <f>'Vektor S &amp; V'!I321</f>
        <v>4.1732120965439047E-3</v>
      </c>
      <c r="G321" s="14" t="str">
        <f>IF(F321&gt;='Asumsi &amp; Bobot'!$C$15,"Mendapat Bonus","Tidak Mendapat Bonus")</f>
        <v>Mendapat Bonus</v>
      </c>
      <c r="H321" s="26">
        <f t="shared" si="4"/>
        <v>1.2627042042995178E-2</v>
      </c>
      <c r="I321" s="20">
        <f>IF(G321="Mendapat Bonus",H321*'Asumsi &amp; Bobot'!$C$16,0)</f>
        <v>631.35210214975893</v>
      </c>
    </row>
    <row r="322" spans="1:9" ht="15" customHeight="1" x14ac:dyDescent="0.35">
      <c r="A322" s="22">
        <f>'Vektor S &amp; V'!J322</f>
        <v>321</v>
      </c>
      <c r="B322" s="8" t="str">
        <f>'Vektor S &amp; V'!B322</f>
        <v>Junior Financial Advisor</v>
      </c>
      <c r="C322" s="11" t="str">
        <f>'Data Mentah'!C322</f>
        <v>Bachelor's</v>
      </c>
      <c r="D322" s="23">
        <f>'Data Mentah'!E322</f>
        <v>4</v>
      </c>
      <c r="E322" s="24">
        <f>'Data Mentah'!F322</f>
        <v>65000</v>
      </c>
      <c r="F322" s="27">
        <f>'Vektor S &amp; V'!I322</f>
        <v>1.539154757694054E-3</v>
      </c>
      <c r="G322" s="11" t="str">
        <f>IF(F322&gt;='Asumsi &amp; Bobot'!$C$15,"Mendapat Bonus","Tidak Mendapat Bonus")</f>
        <v>Tidak Mendapat Bonus</v>
      </c>
      <c r="H322" s="27">
        <f t="shared" si="4"/>
        <v>0</v>
      </c>
      <c r="I322" s="24">
        <f>IF(G322="Mendapat Bonus",H322*'Asumsi &amp; Bobot'!$C$16,0)</f>
        <v>0</v>
      </c>
    </row>
    <row r="323" spans="1:9" ht="15" customHeight="1" x14ac:dyDescent="0.35">
      <c r="A323" s="18">
        <f>'Vektor S &amp; V'!J323</f>
        <v>174</v>
      </c>
      <c r="B323" s="17" t="str">
        <f>'Vektor S &amp; V'!B323</f>
        <v>Senior Project Manager</v>
      </c>
      <c r="C323" s="14" t="str">
        <f>'Data Mentah'!C323</f>
        <v>Bachelor's</v>
      </c>
      <c r="D323" s="19">
        <f>'Data Mentah'!E323</f>
        <v>12</v>
      </c>
      <c r="E323" s="20">
        <f>'Data Mentah'!F323</f>
        <v>130000</v>
      </c>
      <c r="F323" s="26">
        <f>'Vektor S &amp; V'!I323</f>
        <v>2.3713058259320617E-3</v>
      </c>
      <c r="G323" s="14" t="str">
        <f>IF(F323&gt;='Asumsi &amp; Bobot'!$C$15,"Mendapat Bonus","Tidak Mendapat Bonus")</f>
        <v>Tidak Mendapat Bonus</v>
      </c>
      <c r="H323" s="26">
        <f t="shared" ref="H323:H386" si="5">IF(G323="Mendapat Bonus",F323/(SUMIF($G$3:$G$375,"Mendapat Bonus",$F$3:$F$375)),0)</f>
        <v>0</v>
      </c>
      <c r="I323" s="20">
        <f>IF(G323="Mendapat Bonus",H323*'Asumsi &amp; Bobot'!$C$16,0)</f>
        <v>0</v>
      </c>
    </row>
    <row r="324" spans="1:9" ht="15" customHeight="1" x14ac:dyDescent="0.35">
      <c r="A324" s="22">
        <f>'Vektor S &amp; V'!J324</f>
        <v>45</v>
      </c>
      <c r="B324" s="8" t="str">
        <f>'Vektor S &amp; V'!B324</f>
        <v>Director of Engineering</v>
      </c>
      <c r="C324" s="11" t="str">
        <f>'Data Mentah'!C324</f>
        <v>PhD</v>
      </c>
      <c r="D324" s="23">
        <f>'Data Mentah'!E324</f>
        <v>20</v>
      </c>
      <c r="E324" s="24">
        <f>'Data Mentah'!F324</f>
        <v>180000</v>
      </c>
      <c r="F324" s="27">
        <f>'Vektor S &amp; V'!I324</f>
        <v>4.4846025345376258E-3</v>
      </c>
      <c r="G324" s="11" t="str">
        <f>IF(F324&gt;='Asumsi &amp; Bobot'!$C$15,"Mendapat Bonus","Tidak Mendapat Bonus")</f>
        <v>Mendapat Bonus</v>
      </c>
      <c r="H324" s="27">
        <f t="shared" si="5"/>
        <v>1.3569227597280733E-2</v>
      </c>
      <c r="I324" s="24">
        <f>IF(G324="Mendapat Bonus",H324*'Asumsi &amp; Bobot'!$C$16,0)</f>
        <v>678.46137986403664</v>
      </c>
    </row>
    <row r="325" spans="1:9" ht="15" customHeight="1" x14ac:dyDescent="0.35">
      <c r="A325" s="18">
        <f>'Vektor S &amp; V'!J325</f>
        <v>302</v>
      </c>
      <c r="B325" s="17" t="str">
        <f>'Vektor S &amp; V'!B325</f>
        <v>Junior Marketing Analyst</v>
      </c>
      <c r="C325" s="14" t="str">
        <f>'Data Mentah'!C325</f>
        <v>Bachelor's</v>
      </c>
      <c r="D325" s="19">
        <f>'Data Mentah'!E325</f>
        <v>2</v>
      </c>
      <c r="E325" s="20">
        <f>'Data Mentah'!F325</f>
        <v>40000</v>
      </c>
      <c r="F325" s="26">
        <f>'Vektor S &amp; V'!I325</f>
        <v>1.5753991877227921E-3</v>
      </c>
      <c r="G325" s="14" t="str">
        <f>IF(F325&gt;='Asumsi &amp; Bobot'!$C$15,"Mendapat Bonus","Tidak Mendapat Bonus")</f>
        <v>Tidak Mendapat Bonus</v>
      </c>
      <c r="H325" s="26">
        <f t="shared" si="5"/>
        <v>0</v>
      </c>
      <c r="I325" s="20">
        <f>IF(G325="Mendapat Bonus",H325*'Asumsi &amp; Bobot'!$C$16,0)</f>
        <v>0</v>
      </c>
    </row>
    <row r="326" spans="1:9" ht="15" customHeight="1" x14ac:dyDescent="0.35">
      <c r="A326" s="22">
        <f>'Vektor S &amp; V'!J326</f>
        <v>243</v>
      </c>
      <c r="B326" s="8" t="str">
        <f>'Vektor S &amp; V'!B326</f>
        <v>Senior Operations Manager</v>
      </c>
      <c r="C326" s="11" t="str">
        <f>'Data Mentah'!C326</f>
        <v>Bachelor's</v>
      </c>
      <c r="D326" s="23">
        <f>'Data Mentah'!E326</f>
        <v>9</v>
      </c>
      <c r="E326" s="24">
        <f>'Data Mentah'!F326</f>
        <v>100000</v>
      </c>
      <c r="F326" s="27">
        <f>'Vektor S &amp; V'!I326</f>
        <v>1.875303638837656E-3</v>
      </c>
      <c r="G326" s="11" t="str">
        <f>IF(F326&gt;='Asumsi &amp; Bobot'!$C$15,"Mendapat Bonus","Tidak Mendapat Bonus")</f>
        <v>Tidak Mendapat Bonus</v>
      </c>
      <c r="H326" s="27">
        <f t="shared" si="5"/>
        <v>0</v>
      </c>
      <c r="I326" s="24">
        <f>IF(G326="Mendapat Bonus",H326*'Asumsi &amp; Bobot'!$C$16,0)</f>
        <v>0</v>
      </c>
    </row>
    <row r="327" spans="1:9" ht="15" customHeight="1" x14ac:dyDescent="0.35">
      <c r="A327" s="18">
        <f>'Vektor S &amp; V'!J327</f>
        <v>27</v>
      </c>
      <c r="B327" s="17" t="str">
        <f>'Vektor S &amp; V'!B327</f>
        <v>Senior Data Scientist</v>
      </c>
      <c r="C327" s="14" t="str">
        <f>'Data Mentah'!C327</f>
        <v>PhD</v>
      </c>
      <c r="D327" s="19">
        <f>'Data Mentah'!E327</f>
        <v>15</v>
      </c>
      <c r="E327" s="20">
        <f>'Data Mentah'!F327</f>
        <v>150000</v>
      </c>
      <c r="F327" s="26">
        <f>'Vektor S &amp; V'!I327</f>
        <v>4.7623068944655077E-3</v>
      </c>
      <c r="G327" s="14" t="str">
        <f>IF(F327&gt;='Asumsi &amp; Bobot'!$C$15,"Mendapat Bonus","Tidak Mendapat Bonus")</f>
        <v>Mendapat Bonus</v>
      </c>
      <c r="H327" s="26">
        <f t="shared" si="5"/>
        <v>1.4409487940443366E-2</v>
      </c>
      <c r="I327" s="20">
        <f>IF(G327="Mendapat Bonus",H327*'Asumsi &amp; Bobot'!$C$16,0)</f>
        <v>720.47439702216832</v>
      </c>
    </row>
    <row r="328" spans="1:9" ht="15" customHeight="1" x14ac:dyDescent="0.35">
      <c r="A328" s="22">
        <f>'Vektor S &amp; V'!J328</f>
        <v>329</v>
      </c>
      <c r="B328" s="8" t="str">
        <f>'Vektor S &amp; V'!B328</f>
        <v>Junior Marketing Coordinator</v>
      </c>
      <c r="C328" s="11" t="str">
        <f>'Data Mentah'!C328</f>
        <v>Bachelor's</v>
      </c>
      <c r="D328" s="23">
        <f>'Data Mentah'!E328</f>
        <v>3</v>
      </c>
      <c r="E328" s="24">
        <f>'Data Mentah'!F328</f>
        <v>55000</v>
      </c>
      <c r="F328" s="27">
        <f>'Vektor S &amp; V'!I328</f>
        <v>1.4818591919552062E-3</v>
      </c>
      <c r="G328" s="11" t="str">
        <f>IF(F328&gt;='Asumsi &amp; Bobot'!$C$15,"Mendapat Bonus","Tidak Mendapat Bonus")</f>
        <v>Tidak Mendapat Bonus</v>
      </c>
      <c r="H328" s="27">
        <f t="shared" si="5"/>
        <v>0</v>
      </c>
      <c r="I328" s="24">
        <f>IF(G328="Mendapat Bonus",H328*'Asumsi &amp; Bobot'!$C$16,0)</f>
        <v>0</v>
      </c>
    </row>
    <row r="329" spans="1:9" ht="15" customHeight="1" x14ac:dyDescent="0.35">
      <c r="A329" s="18">
        <f>'Vektor S &amp; V'!J329</f>
        <v>182</v>
      </c>
      <c r="B329" s="17" t="str">
        <f>'Vektor S &amp; V'!B329</f>
        <v>Senior Business Analyst</v>
      </c>
      <c r="C329" s="14" t="str">
        <f>'Data Mentah'!C329</f>
        <v>Bachelor's</v>
      </c>
      <c r="D329" s="19">
        <f>'Data Mentah'!E329</f>
        <v>10</v>
      </c>
      <c r="E329" s="20">
        <f>'Data Mentah'!F329</f>
        <v>110000</v>
      </c>
      <c r="F329" s="26">
        <f>'Vektor S &amp; V'!I329</f>
        <v>2.2761081911236315E-3</v>
      </c>
      <c r="G329" s="14" t="str">
        <f>IF(F329&gt;='Asumsi &amp; Bobot'!$C$15,"Mendapat Bonus","Tidak Mendapat Bonus")</f>
        <v>Tidak Mendapat Bonus</v>
      </c>
      <c r="H329" s="26">
        <f t="shared" si="5"/>
        <v>0</v>
      </c>
      <c r="I329" s="20">
        <f>IF(G329="Mendapat Bonus",H329*'Asumsi &amp; Bobot'!$C$16,0)</f>
        <v>0</v>
      </c>
    </row>
    <row r="330" spans="1:9" ht="15" customHeight="1" x14ac:dyDescent="0.35">
      <c r="A330" s="22">
        <f>'Vektor S &amp; V'!J330</f>
        <v>78</v>
      </c>
      <c r="B330" s="8" t="str">
        <f>'Vektor S &amp; V'!B330</f>
        <v>Director of Marketing</v>
      </c>
      <c r="C330" s="11" t="str">
        <f>'Data Mentah'!C330</f>
        <v>Master's</v>
      </c>
      <c r="D330" s="23">
        <f>'Data Mentah'!E330</f>
        <v>21</v>
      </c>
      <c r="E330" s="24">
        <f>'Data Mentah'!F330</f>
        <v>180000</v>
      </c>
      <c r="F330" s="27">
        <f>'Vektor S &amp; V'!I330</f>
        <v>3.9068643046425528E-3</v>
      </c>
      <c r="G330" s="11" t="str">
        <f>IF(F330&gt;='Asumsi &amp; Bobot'!$C$15,"Mendapat Bonus","Tidak Mendapat Bonus")</f>
        <v>Tidak Mendapat Bonus</v>
      </c>
      <c r="H330" s="27">
        <f t="shared" si="5"/>
        <v>0</v>
      </c>
      <c r="I330" s="24">
        <f>IF(G330="Mendapat Bonus",H330*'Asumsi &amp; Bobot'!$C$16,0)</f>
        <v>0</v>
      </c>
    </row>
    <row r="331" spans="1:9" ht="15" customHeight="1" x14ac:dyDescent="0.35">
      <c r="A331" s="18">
        <f>'Vektor S &amp; V'!J331</f>
        <v>277</v>
      </c>
      <c r="B331" s="17" t="str">
        <f>'Vektor S &amp; V'!B331</f>
        <v>Junior Business Development Associate</v>
      </c>
      <c r="C331" s="14" t="str">
        <f>'Data Mentah'!C331</f>
        <v>Bachelor's</v>
      </c>
      <c r="D331" s="19">
        <f>'Data Mentah'!E331</f>
        <v>3</v>
      </c>
      <c r="E331" s="20">
        <f>'Data Mentah'!F331</f>
        <v>50000</v>
      </c>
      <c r="F331" s="26">
        <f>'Vektor S &amp; V'!I331</f>
        <v>1.7129882406672022E-3</v>
      </c>
      <c r="G331" s="14" t="str">
        <f>IF(F331&gt;='Asumsi &amp; Bobot'!$C$15,"Mendapat Bonus","Tidak Mendapat Bonus")</f>
        <v>Tidak Mendapat Bonus</v>
      </c>
      <c r="H331" s="26">
        <f t="shared" si="5"/>
        <v>0</v>
      </c>
      <c r="I331" s="20">
        <f>IF(G331="Mendapat Bonus",H331*'Asumsi &amp; Bobot'!$C$16,0)</f>
        <v>0</v>
      </c>
    </row>
    <row r="332" spans="1:9" ht="15" customHeight="1" x14ac:dyDescent="0.35">
      <c r="A332" s="22">
        <f>'Vektor S &amp; V'!J332</f>
        <v>223</v>
      </c>
      <c r="B332" s="8" t="str">
        <f>'Vektor S &amp; V'!B332</f>
        <v>Senior Financial Analyst</v>
      </c>
      <c r="C332" s="11" t="str">
        <f>'Data Mentah'!C332</f>
        <v>Bachelor's</v>
      </c>
      <c r="D332" s="23">
        <f>'Data Mentah'!E332</f>
        <v>12</v>
      </c>
      <c r="E332" s="24">
        <f>'Data Mentah'!F332</f>
        <v>130000</v>
      </c>
      <c r="F332" s="27">
        <f>'Vektor S &amp; V'!I332</f>
        <v>2.0544769349487612E-3</v>
      </c>
      <c r="G332" s="11" t="str">
        <f>IF(F332&gt;='Asumsi &amp; Bobot'!$C$15,"Mendapat Bonus","Tidak Mendapat Bonus")</f>
        <v>Tidak Mendapat Bonus</v>
      </c>
      <c r="H332" s="27">
        <f t="shared" si="5"/>
        <v>0</v>
      </c>
      <c r="I332" s="24">
        <f>IF(G332="Mendapat Bonus",H332*'Asumsi &amp; Bobot'!$C$16,0)</f>
        <v>0</v>
      </c>
    </row>
    <row r="333" spans="1:9" ht="15" customHeight="1" x14ac:dyDescent="0.35">
      <c r="A333" s="18">
        <f>'Vektor S &amp; V'!J333</f>
        <v>10</v>
      </c>
      <c r="B333" s="17" t="str">
        <f>'Vektor S &amp; V'!B333</f>
        <v>Senior UX Designer</v>
      </c>
      <c r="C333" s="14" t="str">
        <f>'Data Mentah'!C333</f>
        <v>PhD</v>
      </c>
      <c r="D333" s="19">
        <f>'Data Mentah'!E333</f>
        <v>16</v>
      </c>
      <c r="E333" s="20">
        <f>'Data Mentah'!F333</f>
        <v>160000</v>
      </c>
      <c r="F333" s="26">
        <f>'Vektor S &amp; V'!I333</f>
        <v>4.8944858094707245E-3</v>
      </c>
      <c r="G333" s="14" t="str">
        <f>IF(F333&gt;='Asumsi &amp; Bobot'!$C$15,"Mendapat Bonus","Tidak Mendapat Bonus")</f>
        <v>Mendapat Bonus</v>
      </c>
      <c r="H333" s="26">
        <f t="shared" si="5"/>
        <v>1.4809426567658259E-2</v>
      </c>
      <c r="I333" s="20">
        <f>IF(G333="Mendapat Bonus",H333*'Asumsi &amp; Bobot'!$C$16,0)</f>
        <v>740.47132838291293</v>
      </c>
    </row>
    <row r="334" spans="1:9" ht="15" customHeight="1" x14ac:dyDescent="0.35">
      <c r="A334" s="22">
        <f>'Vektor S &amp; V'!J334</f>
        <v>309</v>
      </c>
      <c r="B334" s="8" t="str">
        <f>'Vektor S &amp; V'!B334</f>
        <v>Junior Product Manager</v>
      </c>
      <c r="C334" s="11" t="str">
        <f>'Data Mentah'!C334</f>
        <v>Bachelor's</v>
      </c>
      <c r="D334" s="23">
        <f>'Data Mentah'!E334</f>
        <v>4</v>
      </c>
      <c r="E334" s="24">
        <f>'Data Mentah'!F334</f>
        <v>60000</v>
      </c>
      <c r="F334" s="27">
        <f>'Vektor S &amp; V'!I334</f>
        <v>1.5749825490046559E-3</v>
      </c>
      <c r="G334" s="11" t="str">
        <f>IF(F334&gt;='Asumsi &amp; Bobot'!$C$15,"Mendapat Bonus","Tidak Mendapat Bonus")</f>
        <v>Tidak Mendapat Bonus</v>
      </c>
      <c r="H334" s="27">
        <f t="shared" si="5"/>
        <v>0</v>
      </c>
      <c r="I334" s="24">
        <f>IF(G334="Mendapat Bonus",H334*'Asumsi &amp; Bobot'!$C$16,0)</f>
        <v>0</v>
      </c>
    </row>
    <row r="335" spans="1:9" ht="15" customHeight="1" x14ac:dyDescent="0.35">
      <c r="A335" s="18">
        <f>'Vektor S &amp; V'!J335</f>
        <v>208</v>
      </c>
      <c r="B335" s="17" t="str">
        <f>'Vektor S &amp; V'!B335</f>
        <v>Senior Marketing Manager</v>
      </c>
      <c r="C335" s="14" t="str">
        <f>'Data Mentah'!C335</f>
        <v>Bachelor's</v>
      </c>
      <c r="D335" s="19">
        <f>'Data Mentah'!E335</f>
        <v>8</v>
      </c>
      <c r="E335" s="20">
        <f>'Data Mentah'!F335</f>
        <v>95000</v>
      </c>
      <c r="F335" s="26">
        <f>'Vektor S &amp; V'!I335</f>
        <v>2.1340871969133608E-3</v>
      </c>
      <c r="G335" s="14" t="str">
        <f>IF(F335&gt;='Asumsi &amp; Bobot'!$C$15,"Mendapat Bonus","Tidak Mendapat Bonus")</f>
        <v>Tidak Mendapat Bonus</v>
      </c>
      <c r="H335" s="26">
        <f t="shared" si="5"/>
        <v>0</v>
      </c>
      <c r="I335" s="20">
        <f>IF(G335="Mendapat Bonus",H335*'Asumsi &amp; Bobot'!$C$16,0)</f>
        <v>0</v>
      </c>
    </row>
    <row r="336" spans="1:9" ht="15" customHeight="1" x14ac:dyDescent="0.35">
      <c r="A336" s="22">
        <f>'Vektor S &amp; V'!J336</f>
        <v>91</v>
      </c>
      <c r="B336" s="8" t="str">
        <f>'Vektor S &amp; V'!B336</f>
        <v>Director of Operations</v>
      </c>
      <c r="C336" s="11" t="str">
        <f>'Data Mentah'!C336</f>
        <v>Master's</v>
      </c>
      <c r="D336" s="23">
        <f>'Data Mentah'!E336</f>
        <v>19</v>
      </c>
      <c r="E336" s="24">
        <f>'Data Mentah'!F336</f>
        <v>170000</v>
      </c>
      <c r="F336" s="27">
        <f>'Vektor S &amp; V'!I336</f>
        <v>3.7918380737221153E-3</v>
      </c>
      <c r="G336" s="11" t="str">
        <f>IF(F336&gt;='Asumsi &amp; Bobot'!$C$15,"Mendapat Bonus","Tidak Mendapat Bonus")</f>
        <v>Tidak Mendapat Bonus</v>
      </c>
      <c r="H336" s="27">
        <f t="shared" si="5"/>
        <v>0</v>
      </c>
      <c r="I336" s="24">
        <f>IF(G336="Mendapat Bonus",H336*'Asumsi &amp; Bobot'!$C$16,0)</f>
        <v>0</v>
      </c>
    </row>
    <row r="337" spans="1:9" ht="15" customHeight="1" x14ac:dyDescent="0.35">
      <c r="A337" s="18">
        <f>'Vektor S &amp; V'!J337</f>
        <v>302</v>
      </c>
      <c r="B337" s="17" t="str">
        <f>'Vektor S &amp; V'!B337</f>
        <v>Junior Project Manager</v>
      </c>
      <c r="C337" s="14" t="str">
        <f>'Data Mentah'!C337</f>
        <v>Bachelor's</v>
      </c>
      <c r="D337" s="19">
        <f>'Data Mentah'!E337</f>
        <v>2</v>
      </c>
      <c r="E337" s="20">
        <f>'Data Mentah'!F337</f>
        <v>40000</v>
      </c>
      <c r="F337" s="26">
        <f>'Vektor S &amp; V'!I337</f>
        <v>1.5753991877227921E-3</v>
      </c>
      <c r="G337" s="14" t="str">
        <f>IF(F337&gt;='Asumsi &amp; Bobot'!$C$15,"Mendapat Bonus","Tidak Mendapat Bonus")</f>
        <v>Tidak Mendapat Bonus</v>
      </c>
      <c r="H337" s="26">
        <f t="shared" si="5"/>
        <v>0</v>
      </c>
      <c r="I337" s="20">
        <f>IF(G337="Mendapat Bonus",H337*'Asumsi &amp; Bobot'!$C$16,0)</f>
        <v>0</v>
      </c>
    </row>
    <row r="338" spans="1:9" ht="15" customHeight="1" x14ac:dyDescent="0.35">
      <c r="A338" s="22">
        <f>'Vektor S &amp; V'!J338</f>
        <v>272</v>
      </c>
      <c r="B338" s="8" t="str">
        <f>'Vektor S &amp; V'!B338</f>
        <v>Senior Operations Coordinator</v>
      </c>
      <c r="C338" s="11" t="str">
        <f>'Data Mentah'!C338</f>
        <v>Bachelor's</v>
      </c>
      <c r="D338" s="23">
        <f>'Data Mentah'!E338</f>
        <v>7</v>
      </c>
      <c r="E338" s="24">
        <f>'Data Mentah'!F338</f>
        <v>90000</v>
      </c>
      <c r="F338" s="27">
        <f>'Vektor S &amp; V'!I338</f>
        <v>1.7358769968214675E-3</v>
      </c>
      <c r="G338" s="11" t="str">
        <f>IF(F338&gt;='Asumsi &amp; Bobot'!$C$15,"Mendapat Bonus","Tidak Mendapat Bonus")</f>
        <v>Tidak Mendapat Bonus</v>
      </c>
      <c r="H338" s="27">
        <f t="shared" si="5"/>
        <v>0</v>
      </c>
      <c r="I338" s="24">
        <f>IF(G338="Mendapat Bonus",H338*'Asumsi &amp; Bobot'!$C$16,0)</f>
        <v>0</v>
      </c>
    </row>
    <row r="339" spans="1:9" ht="15" customHeight="1" x14ac:dyDescent="0.35">
      <c r="A339" s="18">
        <f>'Vektor S &amp; V'!J339</f>
        <v>21</v>
      </c>
      <c r="B339" s="17" t="str">
        <f>'Vektor S &amp; V'!B339</f>
        <v>Senior Business Analyst</v>
      </c>
      <c r="C339" s="14" t="str">
        <f>'Data Mentah'!C339</f>
        <v>PhD</v>
      </c>
      <c r="D339" s="19">
        <f>'Data Mentah'!E339</f>
        <v>15</v>
      </c>
      <c r="E339" s="20">
        <f>'Data Mentah'!F339</f>
        <v>150000</v>
      </c>
      <c r="F339" s="26">
        <f>'Vektor S &amp; V'!I339</f>
        <v>4.8024443715053875E-3</v>
      </c>
      <c r="G339" s="14" t="str">
        <f>IF(F339&gt;='Asumsi &amp; Bobot'!$C$15,"Mendapat Bonus","Tidak Mendapat Bonus")</f>
        <v>Mendapat Bonus</v>
      </c>
      <c r="H339" s="26">
        <f t="shared" si="5"/>
        <v>1.4530933387824784E-2</v>
      </c>
      <c r="I339" s="20">
        <f>IF(G339="Mendapat Bonus",H339*'Asumsi &amp; Bobot'!$C$16,0)</f>
        <v>726.54666939123922</v>
      </c>
    </row>
    <row r="340" spans="1:9" ht="15" customHeight="1" x14ac:dyDescent="0.35">
      <c r="A340" s="22">
        <f>'Vektor S &amp; V'!J340</f>
        <v>294</v>
      </c>
      <c r="B340" s="8" t="str">
        <f>'Vektor S &amp; V'!B340</f>
        <v>Junior Marketing Specialist</v>
      </c>
      <c r="C340" s="11" t="str">
        <f>'Data Mentah'!C340</f>
        <v>Bachelor's</v>
      </c>
      <c r="D340" s="23">
        <f>'Data Mentah'!E340</f>
        <v>5</v>
      </c>
      <c r="E340" s="24">
        <f>'Data Mentah'!F340</f>
        <v>70000</v>
      </c>
      <c r="F340" s="27">
        <f>'Vektor S &amp; V'!I340</f>
        <v>1.6252670172589476E-3</v>
      </c>
      <c r="G340" s="11" t="str">
        <f>IF(F340&gt;='Asumsi &amp; Bobot'!$C$15,"Mendapat Bonus","Tidak Mendapat Bonus")</f>
        <v>Tidak Mendapat Bonus</v>
      </c>
      <c r="H340" s="27">
        <f t="shared" si="5"/>
        <v>0</v>
      </c>
      <c r="I340" s="24">
        <f>IF(G340="Mendapat Bonus",H340*'Asumsi &amp; Bobot'!$C$16,0)</f>
        <v>0</v>
      </c>
    </row>
    <row r="341" spans="1:9" ht="15" customHeight="1" x14ac:dyDescent="0.35">
      <c r="A341" s="18">
        <f>'Vektor S &amp; V'!J341</f>
        <v>220</v>
      </c>
      <c r="B341" s="17" t="str">
        <f>'Vektor S &amp; V'!B341</f>
        <v>Senior Financial Manager</v>
      </c>
      <c r="C341" s="14" t="str">
        <f>'Data Mentah'!C341</f>
        <v>Bachelor's</v>
      </c>
      <c r="D341" s="19">
        <f>'Data Mentah'!E341</f>
        <v>8</v>
      </c>
      <c r="E341" s="20">
        <f>'Data Mentah'!F341</f>
        <v>90000</v>
      </c>
      <c r="F341" s="26">
        <f>'Vektor S &amp; V'!I341</f>
        <v>2.1190433631863613E-3</v>
      </c>
      <c r="G341" s="14" t="str">
        <f>IF(F341&gt;='Asumsi &amp; Bobot'!$C$15,"Mendapat Bonus","Tidak Mendapat Bonus")</f>
        <v>Tidak Mendapat Bonus</v>
      </c>
      <c r="H341" s="26">
        <f t="shared" si="5"/>
        <v>0</v>
      </c>
      <c r="I341" s="20">
        <f>IF(G341="Mendapat Bonus",H341*'Asumsi &amp; Bobot'!$C$16,0)</f>
        <v>0</v>
      </c>
    </row>
    <row r="342" spans="1:9" ht="15" customHeight="1" x14ac:dyDescent="0.35">
      <c r="A342" s="22">
        <f>'Vektor S &amp; V'!J342</f>
        <v>107</v>
      </c>
      <c r="B342" s="8" t="str">
        <f>'Vektor S &amp; V'!B342</f>
        <v>Director of Marketing</v>
      </c>
      <c r="C342" s="11" t="str">
        <f>'Data Mentah'!C342</f>
        <v>Master's</v>
      </c>
      <c r="D342" s="23">
        <f>'Data Mentah'!E342</f>
        <v>18</v>
      </c>
      <c r="E342" s="24">
        <f>'Data Mentah'!F342</f>
        <v>170000</v>
      </c>
      <c r="F342" s="27">
        <f>'Vektor S &amp; V'!I342</f>
        <v>3.6166110002666262E-3</v>
      </c>
      <c r="G342" s="11" t="str">
        <f>IF(F342&gt;='Asumsi &amp; Bobot'!$C$15,"Mendapat Bonus","Tidak Mendapat Bonus")</f>
        <v>Tidak Mendapat Bonus</v>
      </c>
      <c r="H342" s="27">
        <f t="shared" si="5"/>
        <v>0</v>
      </c>
      <c r="I342" s="24">
        <f>IF(G342="Mendapat Bonus",H342*'Asumsi &amp; Bobot'!$C$16,0)</f>
        <v>0</v>
      </c>
    </row>
    <row r="343" spans="1:9" ht="15" customHeight="1" x14ac:dyDescent="0.35">
      <c r="A343" s="18">
        <f>'Vektor S &amp; V'!J343</f>
        <v>277</v>
      </c>
      <c r="B343" s="17" t="str">
        <f>'Vektor S &amp; V'!B343</f>
        <v>Junior Financial Analyst</v>
      </c>
      <c r="C343" s="14" t="str">
        <f>'Data Mentah'!C343</f>
        <v>Bachelor's</v>
      </c>
      <c r="D343" s="19">
        <f>'Data Mentah'!E343</f>
        <v>3</v>
      </c>
      <c r="E343" s="20">
        <f>'Data Mentah'!F343</f>
        <v>50000</v>
      </c>
      <c r="F343" s="26">
        <f>'Vektor S &amp; V'!I343</f>
        <v>1.7129882406672022E-3</v>
      </c>
      <c r="G343" s="14" t="str">
        <f>IF(F343&gt;='Asumsi &amp; Bobot'!$C$15,"Mendapat Bonus","Tidak Mendapat Bonus")</f>
        <v>Tidak Mendapat Bonus</v>
      </c>
      <c r="H343" s="26">
        <f t="shared" si="5"/>
        <v>0</v>
      </c>
      <c r="I343" s="20">
        <f>IF(G343="Mendapat Bonus",H343*'Asumsi &amp; Bobot'!$C$16,0)</f>
        <v>0</v>
      </c>
    </row>
    <row r="344" spans="1:9" ht="15" customHeight="1" x14ac:dyDescent="0.35">
      <c r="A344" s="22">
        <f>'Vektor S &amp; V'!J344</f>
        <v>218</v>
      </c>
      <c r="B344" s="8" t="str">
        <f>'Vektor S &amp; V'!B344</f>
        <v>Senior Product Manager</v>
      </c>
      <c r="C344" s="11" t="str">
        <f>'Data Mentah'!C344</f>
        <v>Bachelor's</v>
      </c>
      <c r="D344" s="23">
        <f>'Data Mentah'!E344</f>
        <v>14</v>
      </c>
      <c r="E344" s="24">
        <f>'Data Mentah'!F344</f>
        <v>150000</v>
      </c>
      <c r="F344" s="27">
        <f>'Vektor S &amp; V'!I344</f>
        <v>2.1297048534427666E-3</v>
      </c>
      <c r="G344" s="11" t="str">
        <f>IF(F344&gt;='Asumsi &amp; Bobot'!$C$15,"Mendapat Bonus","Tidak Mendapat Bonus")</f>
        <v>Tidak Mendapat Bonus</v>
      </c>
      <c r="H344" s="27">
        <f t="shared" si="5"/>
        <v>0</v>
      </c>
      <c r="I344" s="24">
        <f>IF(G344="Mendapat Bonus",H344*'Asumsi &amp; Bobot'!$C$16,0)</f>
        <v>0</v>
      </c>
    </row>
    <row r="345" spans="1:9" ht="15" customHeight="1" x14ac:dyDescent="0.35">
      <c r="A345" s="18">
        <f>'Vektor S &amp; V'!J345</f>
        <v>12</v>
      </c>
      <c r="B345" s="17" t="str">
        <f>'Vektor S &amp; V'!B345</f>
        <v>Senior Data Engineer</v>
      </c>
      <c r="C345" s="14" t="str">
        <f>'Data Mentah'!C345</f>
        <v>PhD</v>
      </c>
      <c r="D345" s="19">
        <f>'Data Mentah'!E345</f>
        <v>16</v>
      </c>
      <c r="E345" s="20">
        <f>'Data Mentah'!F345</f>
        <v>160000</v>
      </c>
      <c r="F345" s="26">
        <f>'Vektor S &amp; V'!I345</f>
        <v>4.8552201543041332E-3</v>
      </c>
      <c r="G345" s="14" t="str">
        <f>IF(F345&gt;='Asumsi &amp; Bobot'!$C$15,"Mendapat Bonus","Tidak Mendapat Bonus")</f>
        <v>Mendapat Bonus</v>
      </c>
      <c r="H345" s="26">
        <f t="shared" si="5"/>
        <v>1.4690619023933149E-2</v>
      </c>
      <c r="I345" s="20">
        <f>IF(G345="Mendapat Bonus",H345*'Asumsi &amp; Bobot'!$C$16,0)</f>
        <v>734.5309511966575</v>
      </c>
    </row>
    <row r="346" spans="1:9" ht="15" customHeight="1" x14ac:dyDescent="0.35">
      <c r="A346" s="22">
        <f>'Vektor S &amp; V'!J346</f>
        <v>309</v>
      </c>
      <c r="B346" s="8" t="str">
        <f>'Vektor S &amp; V'!B346</f>
        <v>Junior Business Analyst</v>
      </c>
      <c r="C346" s="11" t="str">
        <f>'Data Mentah'!C346</f>
        <v>Bachelor's</v>
      </c>
      <c r="D346" s="23">
        <f>'Data Mentah'!E346</f>
        <v>4</v>
      </c>
      <c r="E346" s="24">
        <f>'Data Mentah'!F346</f>
        <v>60000</v>
      </c>
      <c r="F346" s="27">
        <f>'Vektor S &amp; V'!I346</f>
        <v>1.5749825490046559E-3</v>
      </c>
      <c r="G346" s="11" t="str">
        <f>IF(F346&gt;='Asumsi &amp; Bobot'!$C$15,"Mendapat Bonus","Tidak Mendapat Bonus")</f>
        <v>Tidak Mendapat Bonus</v>
      </c>
      <c r="H346" s="27">
        <f t="shared" si="5"/>
        <v>0</v>
      </c>
      <c r="I346" s="24">
        <f>IF(G346="Mendapat Bonus",H346*'Asumsi &amp; Bobot'!$C$16,0)</f>
        <v>0</v>
      </c>
    </row>
    <row r="347" spans="1:9" ht="15" customHeight="1" x14ac:dyDescent="0.35">
      <c r="A347" s="18">
        <f>'Vektor S &amp; V'!J347</f>
        <v>212</v>
      </c>
      <c r="B347" s="17" t="str">
        <f>'Vektor S &amp; V'!B347</f>
        <v>Senior Marketing Analyst</v>
      </c>
      <c r="C347" s="14" t="str">
        <f>'Data Mentah'!C347</f>
        <v>Bachelor's</v>
      </c>
      <c r="D347" s="19">
        <f>'Data Mentah'!E347</f>
        <v>8</v>
      </c>
      <c r="E347" s="20">
        <f>'Data Mentah'!F347</f>
        <v>85000</v>
      </c>
      <c r="F347" s="26">
        <f>'Vektor S &amp; V'!I347</f>
        <v>2.1313772502352703E-3</v>
      </c>
      <c r="G347" s="14" t="str">
        <f>IF(F347&gt;='Asumsi &amp; Bobot'!$C$15,"Mendapat Bonus","Tidak Mendapat Bonus")</f>
        <v>Tidak Mendapat Bonus</v>
      </c>
      <c r="H347" s="26">
        <f t="shared" si="5"/>
        <v>0</v>
      </c>
      <c r="I347" s="20">
        <f>IF(G347="Mendapat Bonus",H347*'Asumsi &amp; Bobot'!$C$16,0)</f>
        <v>0</v>
      </c>
    </row>
    <row r="348" spans="1:9" ht="15" customHeight="1" x14ac:dyDescent="0.35">
      <c r="A348" s="22">
        <f>'Vektor S &amp; V'!J348</f>
        <v>100</v>
      </c>
      <c r="B348" s="8" t="str">
        <f>'Vektor S &amp; V'!B348</f>
        <v>Director of Engineering</v>
      </c>
      <c r="C348" s="11" t="str">
        <f>'Data Mentah'!C348</f>
        <v>Master's</v>
      </c>
      <c r="D348" s="23">
        <f>'Data Mentah'!E348</f>
        <v>19</v>
      </c>
      <c r="E348" s="24">
        <f>'Data Mentah'!F348</f>
        <v>180000</v>
      </c>
      <c r="F348" s="27">
        <f>'Vektor S &amp; V'!I348</f>
        <v>3.7101205979936909E-3</v>
      </c>
      <c r="G348" s="11" t="str">
        <f>IF(F348&gt;='Asumsi &amp; Bobot'!$C$15,"Mendapat Bonus","Tidak Mendapat Bonus")</f>
        <v>Tidak Mendapat Bonus</v>
      </c>
      <c r="H348" s="27">
        <f t="shared" si="5"/>
        <v>0</v>
      </c>
      <c r="I348" s="24">
        <f>IF(G348="Mendapat Bonus",H348*'Asumsi &amp; Bobot'!$C$16,0)</f>
        <v>0</v>
      </c>
    </row>
    <row r="349" spans="1:9" ht="15" customHeight="1" x14ac:dyDescent="0.35">
      <c r="A349" s="18">
        <f>'Vektor S &amp; V'!J349</f>
        <v>338</v>
      </c>
      <c r="B349" s="17" t="str">
        <f>'Vektor S &amp; V'!B349</f>
        <v>Junior Operations Manager</v>
      </c>
      <c r="C349" s="14" t="str">
        <f>'Data Mentah'!C349</f>
        <v>Bachelor's</v>
      </c>
      <c r="D349" s="19">
        <f>'Data Mentah'!E349</f>
        <v>1</v>
      </c>
      <c r="E349" s="20">
        <f>'Data Mentah'!F349</f>
        <v>35000</v>
      </c>
      <c r="F349" s="26">
        <f>'Vektor S &amp; V'!I349</f>
        <v>1.4388470778081942E-3</v>
      </c>
      <c r="G349" s="14" t="str">
        <f>IF(F349&gt;='Asumsi &amp; Bobot'!$C$15,"Mendapat Bonus","Tidak Mendapat Bonus")</f>
        <v>Tidak Mendapat Bonus</v>
      </c>
      <c r="H349" s="26">
        <f t="shared" si="5"/>
        <v>0</v>
      </c>
      <c r="I349" s="20">
        <f>IF(G349="Mendapat Bonus",H349*'Asumsi &amp; Bobot'!$C$16,0)</f>
        <v>0</v>
      </c>
    </row>
    <row r="350" spans="1:9" ht="15" customHeight="1" x14ac:dyDescent="0.35">
      <c r="A350" s="22">
        <f>'Vektor S &amp; V'!J350</f>
        <v>261</v>
      </c>
      <c r="B350" s="8" t="str">
        <f>'Vektor S &amp; V'!B350</f>
        <v>Senior Business Development Manager</v>
      </c>
      <c r="C350" s="11" t="str">
        <f>'Data Mentah'!C350</f>
        <v>Bachelor's</v>
      </c>
      <c r="D350" s="23">
        <f>'Data Mentah'!E350</f>
        <v>8</v>
      </c>
      <c r="E350" s="24">
        <f>'Data Mentah'!F350</f>
        <v>110000</v>
      </c>
      <c r="F350" s="27">
        <f>'Vektor S &amp; V'!I350</f>
        <v>1.8023987510529737E-3</v>
      </c>
      <c r="G350" s="11" t="str">
        <f>IF(F350&gt;='Asumsi &amp; Bobot'!$C$15,"Mendapat Bonus","Tidak Mendapat Bonus")</f>
        <v>Tidak Mendapat Bonus</v>
      </c>
      <c r="H350" s="27">
        <f t="shared" si="5"/>
        <v>0</v>
      </c>
      <c r="I350" s="24">
        <f>IF(G350="Mendapat Bonus",H350*'Asumsi &amp; Bobot'!$C$16,0)</f>
        <v>0</v>
      </c>
    </row>
    <row r="351" spans="1:9" ht="15" customHeight="1" x14ac:dyDescent="0.35">
      <c r="A351" s="18">
        <f>'Vektor S &amp; V'!J351</f>
        <v>12</v>
      </c>
      <c r="B351" s="17" t="str">
        <f>'Vektor S &amp; V'!B351</f>
        <v>Senior Data Scientist</v>
      </c>
      <c r="C351" s="14" t="str">
        <f>'Data Mentah'!C351</f>
        <v>PhD</v>
      </c>
      <c r="D351" s="19">
        <f>'Data Mentah'!E351</f>
        <v>16</v>
      </c>
      <c r="E351" s="20">
        <f>'Data Mentah'!F351</f>
        <v>160000</v>
      </c>
      <c r="F351" s="26">
        <f>'Vektor S &amp; V'!I351</f>
        <v>4.8552201543041332E-3</v>
      </c>
      <c r="G351" s="14" t="str">
        <f>IF(F351&gt;='Asumsi &amp; Bobot'!$C$15,"Mendapat Bonus","Tidak Mendapat Bonus")</f>
        <v>Mendapat Bonus</v>
      </c>
      <c r="H351" s="26">
        <f t="shared" si="5"/>
        <v>1.4690619023933149E-2</v>
      </c>
      <c r="I351" s="20">
        <f>IF(G351="Mendapat Bonus",H351*'Asumsi &amp; Bobot'!$C$16,0)</f>
        <v>734.5309511966575</v>
      </c>
    </row>
    <row r="352" spans="1:9" ht="15" customHeight="1" x14ac:dyDescent="0.35">
      <c r="A352" s="22">
        <f>'Vektor S &amp; V'!J352</f>
        <v>334</v>
      </c>
      <c r="B352" s="8" t="str">
        <f>'Vektor S &amp; V'!B352</f>
        <v>Junior Marketing Coordinator</v>
      </c>
      <c r="C352" s="11" t="str">
        <f>'Data Mentah'!C352</f>
        <v>Bachelor's</v>
      </c>
      <c r="D352" s="23">
        <f>'Data Mentah'!E352</f>
        <v>3</v>
      </c>
      <c r="E352" s="24">
        <f>'Data Mentah'!F352</f>
        <v>55000</v>
      </c>
      <c r="F352" s="27">
        <f>'Vektor S &amp; V'!I352</f>
        <v>1.457009478348069E-3</v>
      </c>
      <c r="G352" s="11" t="str">
        <f>IF(F352&gt;='Asumsi &amp; Bobot'!$C$15,"Mendapat Bonus","Tidak Mendapat Bonus")</f>
        <v>Tidak Mendapat Bonus</v>
      </c>
      <c r="H352" s="27">
        <f t="shared" si="5"/>
        <v>0</v>
      </c>
      <c r="I352" s="24">
        <f>IF(G352="Mendapat Bonus",H352*'Asumsi &amp; Bobot'!$C$16,0)</f>
        <v>0</v>
      </c>
    </row>
    <row r="353" spans="1:9" ht="15" customHeight="1" x14ac:dyDescent="0.35">
      <c r="A353" s="18">
        <f>'Vektor S &amp; V'!J353</f>
        <v>182</v>
      </c>
      <c r="B353" s="17" t="str">
        <f>'Vektor S &amp; V'!B353</f>
        <v>Senior Business Analyst</v>
      </c>
      <c r="C353" s="14" t="str">
        <f>'Data Mentah'!C353</f>
        <v>Bachelor's</v>
      </c>
      <c r="D353" s="19">
        <f>'Data Mentah'!E353</f>
        <v>10</v>
      </c>
      <c r="E353" s="20">
        <f>'Data Mentah'!F353</f>
        <v>110000</v>
      </c>
      <c r="F353" s="26">
        <f>'Vektor S &amp; V'!I353</f>
        <v>2.2761081911236315E-3</v>
      </c>
      <c r="G353" s="14" t="str">
        <f>IF(F353&gt;='Asumsi &amp; Bobot'!$C$15,"Mendapat Bonus","Tidak Mendapat Bonus")</f>
        <v>Tidak Mendapat Bonus</v>
      </c>
      <c r="H353" s="26">
        <f t="shared" si="5"/>
        <v>0</v>
      </c>
      <c r="I353" s="20">
        <f>IF(G353="Mendapat Bonus",H353*'Asumsi &amp; Bobot'!$C$16,0)</f>
        <v>0</v>
      </c>
    </row>
    <row r="354" spans="1:9" ht="15" customHeight="1" x14ac:dyDescent="0.35">
      <c r="A354" s="22">
        <f>'Vektor S &amp; V'!J354</f>
        <v>78</v>
      </c>
      <c r="B354" s="8" t="str">
        <f>'Vektor S &amp; V'!B354</f>
        <v>Director of Marketing</v>
      </c>
      <c r="C354" s="11" t="str">
        <f>'Data Mentah'!C354</f>
        <v>Master's</v>
      </c>
      <c r="D354" s="23">
        <f>'Data Mentah'!E354</f>
        <v>21</v>
      </c>
      <c r="E354" s="24">
        <f>'Data Mentah'!F354</f>
        <v>180000</v>
      </c>
      <c r="F354" s="27">
        <f>'Vektor S &amp; V'!I354</f>
        <v>3.9068643046425528E-3</v>
      </c>
      <c r="G354" s="11" t="str">
        <f>IF(F354&gt;='Asumsi &amp; Bobot'!$C$15,"Mendapat Bonus","Tidak Mendapat Bonus")</f>
        <v>Tidak Mendapat Bonus</v>
      </c>
      <c r="H354" s="27">
        <f t="shared" si="5"/>
        <v>0</v>
      </c>
      <c r="I354" s="24">
        <f>IF(G354="Mendapat Bonus",H354*'Asumsi &amp; Bobot'!$C$16,0)</f>
        <v>0</v>
      </c>
    </row>
    <row r="355" spans="1:9" ht="15" customHeight="1" x14ac:dyDescent="0.35">
      <c r="A355" s="18">
        <f>'Vektor S &amp; V'!J355</f>
        <v>277</v>
      </c>
      <c r="B355" s="17" t="str">
        <f>'Vektor S &amp; V'!B355</f>
        <v>Junior Business Development Associate</v>
      </c>
      <c r="C355" s="14" t="str">
        <f>'Data Mentah'!C355</f>
        <v>Bachelor's</v>
      </c>
      <c r="D355" s="19">
        <f>'Data Mentah'!E355</f>
        <v>3</v>
      </c>
      <c r="E355" s="20">
        <f>'Data Mentah'!F355</f>
        <v>50000</v>
      </c>
      <c r="F355" s="26">
        <f>'Vektor S &amp; V'!I355</f>
        <v>1.7129882406672022E-3</v>
      </c>
      <c r="G355" s="14" t="str">
        <f>IF(F355&gt;='Asumsi &amp; Bobot'!$C$15,"Mendapat Bonus","Tidak Mendapat Bonus")</f>
        <v>Tidak Mendapat Bonus</v>
      </c>
      <c r="H355" s="26">
        <f t="shared" si="5"/>
        <v>0</v>
      </c>
      <c r="I355" s="20">
        <f>IF(G355="Mendapat Bonus",H355*'Asumsi &amp; Bobot'!$C$16,0)</f>
        <v>0</v>
      </c>
    </row>
    <row r="356" spans="1:9" ht="15" customHeight="1" x14ac:dyDescent="0.35">
      <c r="A356" s="22">
        <f>'Vektor S &amp; V'!J356</f>
        <v>223</v>
      </c>
      <c r="B356" s="8" t="str">
        <f>'Vektor S &amp; V'!B356</f>
        <v>Senior Financial Analyst</v>
      </c>
      <c r="C356" s="11" t="str">
        <f>'Data Mentah'!C356</f>
        <v>Bachelor's</v>
      </c>
      <c r="D356" s="23">
        <f>'Data Mentah'!E356</f>
        <v>12</v>
      </c>
      <c r="E356" s="24">
        <f>'Data Mentah'!F356</f>
        <v>130000</v>
      </c>
      <c r="F356" s="27">
        <f>'Vektor S &amp; V'!I356</f>
        <v>2.0544769349487612E-3</v>
      </c>
      <c r="G356" s="11" t="str">
        <f>IF(F356&gt;='Asumsi &amp; Bobot'!$C$15,"Mendapat Bonus","Tidak Mendapat Bonus")</f>
        <v>Tidak Mendapat Bonus</v>
      </c>
      <c r="H356" s="27">
        <f t="shared" si="5"/>
        <v>0</v>
      </c>
      <c r="I356" s="24">
        <f>IF(G356="Mendapat Bonus",H356*'Asumsi &amp; Bobot'!$C$16,0)</f>
        <v>0</v>
      </c>
    </row>
    <row r="357" spans="1:9" ht="15" customHeight="1" x14ac:dyDescent="0.35">
      <c r="A357" s="18">
        <f>'Vektor S &amp; V'!J357</f>
        <v>10</v>
      </c>
      <c r="B357" s="17" t="str">
        <f>'Vektor S &amp; V'!B357</f>
        <v>Senior UX Designer</v>
      </c>
      <c r="C357" s="14" t="str">
        <f>'Data Mentah'!C357</f>
        <v>PhD</v>
      </c>
      <c r="D357" s="19">
        <f>'Data Mentah'!E357</f>
        <v>16</v>
      </c>
      <c r="E357" s="20">
        <f>'Data Mentah'!F357</f>
        <v>160000</v>
      </c>
      <c r="F357" s="26">
        <f>'Vektor S &amp; V'!I357</f>
        <v>4.8944858094707245E-3</v>
      </c>
      <c r="G357" s="14" t="str">
        <f>IF(F357&gt;='Asumsi &amp; Bobot'!$C$15,"Mendapat Bonus","Tidak Mendapat Bonus")</f>
        <v>Mendapat Bonus</v>
      </c>
      <c r="H357" s="26">
        <f t="shared" si="5"/>
        <v>1.4809426567658259E-2</v>
      </c>
      <c r="I357" s="20">
        <f>IF(G357="Mendapat Bonus",H357*'Asumsi &amp; Bobot'!$C$16,0)</f>
        <v>740.47132838291293</v>
      </c>
    </row>
    <row r="358" spans="1:9" ht="15" customHeight="1" x14ac:dyDescent="0.35">
      <c r="A358" s="22">
        <f>'Vektor S &amp; V'!J358</f>
        <v>309</v>
      </c>
      <c r="B358" s="8" t="str">
        <f>'Vektor S &amp; V'!B358</f>
        <v>Junior Product Manager</v>
      </c>
      <c r="C358" s="11" t="str">
        <f>'Data Mentah'!C358</f>
        <v>Bachelor's</v>
      </c>
      <c r="D358" s="23">
        <f>'Data Mentah'!E358</f>
        <v>4</v>
      </c>
      <c r="E358" s="24">
        <f>'Data Mentah'!F358</f>
        <v>60000</v>
      </c>
      <c r="F358" s="27">
        <f>'Vektor S &amp; V'!I358</f>
        <v>1.5749825490046559E-3</v>
      </c>
      <c r="G358" s="11" t="str">
        <f>IF(F358&gt;='Asumsi &amp; Bobot'!$C$15,"Mendapat Bonus","Tidak Mendapat Bonus")</f>
        <v>Tidak Mendapat Bonus</v>
      </c>
      <c r="H358" s="27">
        <f t="shared" si="5"/>
        <v>0</v>
      </c>
      <c r="I358" s="24">
        <f>IF(G358="Mendapat Bonus",H358*'Asumsi &amp; Bobot'!$C$16,0)</f>
        <v>0</v>
      </c>
    </row>
    <row r="359" spans="1:9" ht="15" customHeight="1" x14ac:dyDescent="0.35">
      <c r="A359" s="18">
        <f>'Vektor S &amp; V'!J359</f>
        <v>208</v>
      </c>
      <c r="B359" s="17" t="str">
        <f>'Vektor S &amp; V'!B359</f>
        <v>Senior Marketing Manager</v>
      </c>
      <c r="C359" s="14" t="str">
        <f>'Data Mentah'!C359</f>
        <v>Bachelor's</v>
      </c>
      <c r="D359" s="19">
        <f>'Data Mentah'!E359</f>
        <v>8</v>
      </c>
      <c r="E359" s="20">
        <f>'Data Mentah'!F359</f>
        <v>95000</v>
      </c>
      <c r="F359" s="26">
        <f>'Vektor S &amp; V'!I359</f>
        <v>2.1340871969133608E-3</v>
      </c>
      <c r="G359" s="14" t="str">
        <f>IF(F359&gt;='Asumsi &amp; Bobot'!$C$15,"Mendapat Bonus","Tidak Mendapat Bonus")</f>
        <v>Tidak Mendapat Bonus</v>
      </c>
      <c r="H359" s="26">
        <f t="shared" si="5"/>
        <v>0</v>
      </c>
      <c r="I359" s="20">
        <f>IF(G359="Mendapat Bonus",H359*'Asumsi &amp; Bobot'!$C$16,0)</f>
        <v>0</v>
      </c>
    </row>
    <row r="360" spans="1:9" ht="15" customHeight="1" x14ac:dyDescent="0.35">
      <c r="A360" s="22">
        <f>'Vektor S &amp; V'!J360</f>
        <v>91</v>
      </c>
      <c r="B360" s="8" t="str">
        <f>'Vektor S &amp; V'!B360</f>
        <v>Director of Operations</v>
      </c>
      <c r="C360" s="11" t="str">
        <f>'Data Mentah'!C360</f>
        <v>Master's</v>
      </c>
      <c r="D360" s="23">
        <f>'Data Mentah'!E360</f>
        <v>19</v>
      </c>
      <c r="E360" s="24">
        <f>'Data Mentah'!F360</f>
        <v>170000</v>
      </c>
      <c r="F360" s="27">
        <f>'Vektor S &amp; V'!I360</f>
        <v>3.7918380737221153E-3</v>
      </c>
      <c r="G360" s="11" t="str">
        <f>IF(F360&gt;='Asumsi &amp; Bobot'!$C$15,"Mendapat Bonus","Tidak Mendapat Bonus")</f>
        <v>Tidak Mendapat Bonus</v>
      </c>
      <c r="H360" s="27">
        <f t="shared" si="5"/>
        <v>0</v>
      </c>
      <c r="I360" s="24">
        <f>IF(G360="Mendapat Bonus",H360*'Asumsi &amp; Bobot'!$C$16,0)</f>
        <v>0</v>
      </c>
    </row>
    <row r="361" spans="1:9" ht="15" customHeight="1" x14ac:dyDescent="0.35">
      <c r="A361" s="18">
        <f>'Vektor S &amp; V'!J361</f>
        <v>302</v>
      </c>
      <c r="B361" s="17" t="str">
        <f>'Vektor S &amp; V'!B361</f>
        <v>Junior Project Manager</v>
      </c>
      <c r="C361" s="14" t="str">
        <f>'Data Mentah'!C361</f>
        <v>Bachelor's</v>
      </c>
      <c r="D361" s="19">
        <f>'Data Mentah'!E361</f>
        <v>2</v>
      </c>
      <c r="E361" s="20">
        <f>'Data Mentah'!F361</f>
        <v>40000</v>
      </c>
      <c r="F361" s="26">
        <f>'Vektor S &amp; V'!I361</f>
        <v>1.5753991877227921E-3</v>
      </c>
      <c r="G361" s="14" t="str">
        <f>IF(F361&gt;='Asumsi &amp; Bobot'!$C$15,"Mendapat Bonus","Tidak Mendapat Bonus")</f>
        <v>Tidak Mendapat Bonus</v>
      </c>
      <c r="H361" s="26">
        <f t="shared" si="5"/>
        <v>0</v>
      </c>
      <c r="I361" s="20">
        <f>IF(G361="Mendapat Bonus",H361*'Asumsi &amp; Bobot'!$C$16,0)</f>
        <v>0</v>
      </c>
    </row>
    <row r="362" spans="1:9" ht="15" customHeight="1" x14ac:dyDescent="0.35">
      <c r="A362" s="22">
        <f>'Vektor S &amp; V'!J362</f>
        <v>272</v>
      </c>
      <c r="B362" s="8" t="str">
        <f>'Vektor S &amp; V'!B362</f>
        <v>Senior Operations Coordinator</v>
      </c>
      <c r="C362" s="11" t="str">
        <f>'Data Mentah'!C362</f>
        <v>Bachelor's</v>
      </c>
      <c r="D362" s="23">
        <f>'Data Mentah'!E362</f>
        <v>7</v>
      </c>
      <c r="E362" s="24">
        <f>'Data Mentah'!F362</f>
        <v>90000</v>
      </c>
      <c r="F362" s="27">
        <f>'Vektor S &amp; V'!I362</f>
        <v>1.7358769968214675E-3</v>
      </c>
      <c r="G362" s="11" t="str">
        <f>IF(F362&gt;='Asumsi &amp; Bobot'!$C$15,"Mendapat Bonus","Tidak Mendapat Bonus")</f>
        <v>Tidak Mendapat Bonus</v>
      </c>
      <c r="H362" s="27">
        <f t="shared" si="5"/>
        <v>0</v>
      </c>
      <c r="I362" s="24">
        <f>IF(G362="Mendapat Bonus",H362*'Asumsi &amp; Bobot'!$C$16,0)</f>
        <v>0</v>
      </c>
    </row>
    <row r="363" spans="1:9" ht="15" customHeight="1" x14ac:dyDescent="0.35">
      <c r="A363" s="18">
        <f>'Vektor S &amp; V'!J363</f>
        <v>21</v>
      </c>
      <c r="B363" s="17" t="str">
        <f>'Vektor S &amp; V'!B363</f>
        <v>Senior Business Analyst</v>
      </c>
      <c r="C363" s="14" t="str">
        <f>'Data Mentah'!C363</f>
        <v>PhD</v>
      </c>
      <c r="D363" s="19">
        <f>'Data Mentah'!E363</f>
        <v>15</v>
      </c>
      <c r="E363" s="20">
        <f>'Data Mentah'!F363</f>
        <v>150000</v>
      </c>
      <c r="F363" s="26">
        <f>'Vektor S &amp; V'!I363</f>
        <v>4.8024443715053875E-3</v>
      </c>
      <c r="G363" s="14" t="str">
        <f>IF(F363&gt;='Asumsi &amp; Bobot'!$C$15,"Mendapat Bonus","Tidak Mendapat Bonus")</f>
        <v>Mendapat Bonus</v>
      </c>
      <c r="H363" s="26">
        <f t="shared" si="5"/>
        <v>1.4530933387824784E-2</v>
      </c>
      <c r="I363" s="20">
        <f>IF(G363="Mendapat Bonus",H363*'Asumsi &amp; Bobot'!$C$16,0)</f>
        <v>726.54666939123922</v>
      </c>
    </row>
    <row r="364" spans="1:9" ht="15" customHeight="1" x14ac:dyDescent="0.35">
      <c r="A364" s="22">
        <f>'Vektor S &amp; V'!J364</f>
        <v>294</v>
      </c>
      <c r="B364" s="8" t="str">
        <f>'Vektor S &amp; V'!B364</f>
        <v>Junior Marketing Specialist</v>
      </c>
      <c r="C364" s="11" t="str">
        <f>'Data Mentah'!C364</f>
        <v>Bachelor's</v>
      </c>
      <c r="D364" s="23">
        <f>'Data Mentah'!E364</f>
        <v>5</v>
      </c>
      <c r="E364" s="24">
        <f>'Data Mentah'!F364</f>
        <v>70000</v>
      </c>
      <c r="F364" s="27">
        <f>'Vektor S &amp; V'!I364</f>
        <v>1.6252670172589476E-3</v>
      </c>
      <c r="G364" s="11" t="str">
        <f>IF(F364&gt;='Asumsi &amp; Bobot'!$C$15,"Mendapat Bonus","Tidak Mendapat Bonus")</f>
        <v>Tidak Mendapat Bonus</v>
      </c>
      <c r="H364" s="27">
        <f t="shared" si="5"/>
        <v>0</v>
      </c>
      <c r="I364" s="24">
        <f>IF(G364="Mendapat Bonus",H364*'Asumsi &amp; Bobot'!$C$16,0)</f>
        <v>0</v>
      </c>
    </row>
    <row r="365" spans="1:9" ht="15" customHeight="1" x14ac:dyDescent="0.35">
      <c r="A365" s="18">
        <f>'Vektor S &amp; V'!J365</f>
        <v>220</v>
      </c>
      <c r="B365" s="17" t="str">
        <f>'Vektor S &amp; V'!B365</f>
        <v>Senior Financial Manager</v>
      </c>
      <c r="C365" s="14" t="str">
        <f>'Data Mentah'!C365</f>
        <v>Bachelor's</v>
      </c>
      <c r="D365" s="19">
        <f>'Data Mentah'!E365</f>
        <v>8</v>
      </c>
      <c r="E365" s="20">
        <f>'Data Mentah'!F365</f>
        <v>90000</v>
      </c>
      <c r="F365" s="26">
        <f>'Vektor S &amp; V'!I365</f>
        <v>2.1190433631863613E-3</v>
      </c>
      <c r="G365" s="14" t="str">
        <f>IF(F365&gt;='Asumsi &amp; Bobot'!$C$15,"Mendapat Bonus","Tidak Mendapat Bonus")</f>
        <v>Tidak Mendapat Bonus</v>
      </c>
      <c r="H365" s="26">
        <f t="shared" si="5"/>
        <v>0</v>
      </c>
      <c r="I365" s="20">
        <f>IF(G365="Mendapat Bonus",H365*'Asumsi &amp; Bobot'!$C$16,0)</f>
        <v>0</v>
      </c>
    </row>
    <row r="366" spans="1:9" ht="15" customHeight="1" x14ac:dyDescent="0.35">
      <c r="A366" s="22">
        <f>'Vektor S &amp; V'!J366</f>
        <v>107</v>
      </c>
      <c r="B366" s="8" t="str">
        <f>'Vektor S &amp; V'!B366</f>
        <v>Director of Marketing</v>
      </c>
      <c r="C366" s="11" t="str">
        <f>'Data Mentah'!C366</f>
        <v>Master's</v>
      </c>
      <c r="D366" s="23">
        <f>'Data Mentah'!E366</f>
        <v>18</v>
      </c>
      <c r="E366" s="24">
        <f>'Data Mentah'!F366</f>
        <v>170000</v>
      </c>
      <c r="F366" s="27">
        <f>'Vektor S &amp; V'!I366</f>
        <v>3.6166110002666262E-3</v>
      </c>
      <c r="G366" s="11" t="str">
        <f>IF(F366&gt;='Asumsi &amp; Bobot'!$C$15,"Mendapat Bonus","Tidak Mendapat Bonus")</f>
        <v>Tidak Mendapat Bonus</v>
      </c>
      <c r="H366" s="27">
        <f t="shared" si="5"/>
        <v>0</v>
      </c>
      <c r="I366" s="24">
        <f>IF(G366="Mendapat Bonus",H366*'Asumsi &amp; Bobot'!$C$16,0)</f>
        <v>0</v>
      </c>
    </row>
    <row r="367" spans="1:9" ht="15" customHeight="1" x14ac:dyDescent="0.35">
      <c r="A367" s="18">
        <f>'Vektor S &amp; V'!J367</f>
        <v>277</v>
      </c>
      <c r="B367" s="17" t="str">
        <f>'Vektor S &amp; V'!B367</f>
        <v>Junior Financial Analyst</v>
      </c>
      <c r="C367" s="14" t="str">
        <f>'Data Mentah'!C367</f>
        <v>Bachelor's</v>
      </c>
      <c r="D367" s="19">
        <f>'Data Mentah'!E367</f>
        <v>3</v>
      </c>
      <c r="E367" s="20">
        <f>'Data Mentah'!F367</f>
        <v>50000</v>
      </c>
      <c r="F367" s="26">
        <f>'Vektor S &amp; V'!I367</f>
        <v>1.7129882406672022E-3</v>
      </c>
      <c r="G367" s="14" t="str">
        <f>IF(F367&gt;='Asumsi &amp; Bobot'!$C$15,"Mendapat Bonus","Tidak Mendapat Bonus")</f>
        <v>Tidak Mendapat Bonus</v>
      </c>
      <c r="H367" s="26">
        <f t="shared" si="5"/>
        <v>0</v>
      </c>
      <c r="I367" s="20">
        <f>IF(G367="Mendapat Bonus",H367*'Asumsi &amp; Bobot'!$C$16,0)</f>
        <v>0</v>
      </c>
    </row>
    <row r="368" spans="1:9" ht="15" customHeight="1" x14ac:dyDescent="0.35">
      <c r="A368" s="22">
        <f>'Vektor S &amp; V'!J368</f>
        <v>218</v>
      </c>
      <c r="B368" s="8" t="str">
        <f>'Vektor S &amp; V'!B368</f>
        <v>Senior Product Manager</v>
      </c>
      <c r="C368" s="11" t="str">
        <f>'Data Mentah'!C368</f>
        <v>Bachelor's</v>
      </c>
      <c r="D368" s="23">
        <f>'Data Mentah'!E368</f>
        <v>14</v>
      </c>
      <c r="E368" s="24">
        <f>'Data Mentah'!F368</f>
        <v>150000</v>
      </c>
      <c r="F368" s="27">
        <f>'Vektor S &amp; V'!I368</f>
        <v>2.1297048534427666E-3</v>
      </c>
      <c r="G368" s="11" t="str">
        <f>IF(F368&gt;='Asumsi &amp; Bobot'!$C$15,"Mendapat Bonus","Tidak Mendapat Bonus")</f>
        <v>Tidak Mendapat Bonus</v>
      </c>
      <c r="H368" s="27">
        <f t="shared" si="5"/>
        <v>0</v>
      </c>
      <c r="I368" s="24">
        <f>IF(G368="Mendapat Bonus",H368*'Asumsi &amp; Bobot'!$C$16,0)</f>
        <v>0</v>
      </c>
    </row>
    <row r="369" spans="1:9" ht="15" customHeight="1" x14ac:dyDescent="0.35">
      <c r="A369" s="18">
        <f>'Vektor S &amp; V'!J369</f>
        <v>12</v>
      </c>
      <c r="B369" s="17" t="str">
        <f>'Vektor S &amp; V'!B369</f>
        <v>Senior Data Engineer</v>
      </c>
      <c r="C369" s="14" t="str">
        <f>'Data Mentah'!C369</f>
        <v>PhD</v>
      </c>
      <c r="D369" s="19">
        <f>'Data Mentah'!E369</f>
        <v>16</v>
      </c>
      <c r="E369" s="20">
        <f>'Data Mentah'!F369</f>
        <v>160000</v>
      </c>
      <c r="F369" s="26">
        <f>'Vektor S &amp; V'!I369</f>
        <v>4.8552201543041332E-3</v>
      </c>
      <c r="G369" s="14" t="str">
        <f>IF(F369&gt;='Asumsi &amp; Bobot'!$C$15,"Mendapat Bonus","Tidak Mendapat Bonus")</f>
        <v>Mendapat Bonus</v>
      </c>
      <c r="H369" s="26">
        <f t="shared" si="5"/>
        <v>1.4690619023933149E-2</v>
      </c>
      <c r="I369" s="20">
        <f>IF(G369="Mendapat Bonus",H369*'Asumsi &amp; Bobot'!$C$16,0)</f>
        <v>734.5309511966575</v>
      </c>
    </row>
    <row r="370" spans="1:9" ht="15" customHeight="1" x14ac:dyDescent="0.35">
      <c r="A370" s="22">
        <f>'Vektor S &amp; V'!J370</f>
        <v>309</v>
      </c>
      <c r="B370" s="8" t="str">
        <f>'Vektor S &amp; V'!B370</f>
        <v>Junior Business Analyst</v>
      </c>
      <c r="C370" s="11" t="str">
        <f>'Data Mentah'!C370</f>
        <v>Bachelor's</v>
      </c>
      <c r="D370" s="23">
        <f>'Data Mentah'!E370</f>
        <v>4</v>
      </c>
      <c r="E370" s="24">
        <f>'Data Mentah'!F370</f>
        <v>60000</v>
      </c>
      <c r="F370" s="27">
        <f>'Vektor S &amp; V'!I370</f>
        <v>1.5749825490046559E-3</v>
      </c>
      <c r="G370" s="11" t="str">
        <f>IF(F370&gt;='Asumsi &amp; Bobot'!$C$15,"Mendapat Bonus","Tidak Mendapat Bonus")</f>
        <v>Tidak Mendapat Bonus</v>
      </c>
      <c r="H370" s="27">
        <f t="shared" si="5"/>
        <v>0</v>
      </c>
      <c r="I370" s="24">
        <f>IF(G370="Mendapat Bonus",H370*'Asumsi &amp; Bobot'!$C$16,0)</f>
        <v>0</v>
      </c>
    </row>
    <row r="371" spans="1:9" ht="15" customHeight="1" x14ac:dyDescent="0.35">
      <c r="A371" s="18">
        <f>'Vektor S &amp; V'!J371</f>
        <v>212</v>
      </c>
      <c r="B371" s="17" t="str">
        <f>'Vektor S &amp; V'!B371</f>
        <v>Senior Marketing Analyst</v>
      </c>
      <c r="C371" s="14" t="str">
        <f>'Data Mentah'!C371</f>
        <v>Bachelor's</v>
      </c>
      <c r="D371" s="19">
        <f>'Data Mentah'!E371</f>
        <v>8</v>
      </c>
      <c r="E371" s="20">
        <f>'Data Mentah'!F371</f>
        <v>85000</v>
      </c>
      <c r="F371" s="26">
        <f>'Vektor S &amp; V'!I371</f>
        <v>2.1313772502352703E-3</v>
      </c>
      <c r="G371" s="14" t="str">
        <f>IF(F371&gt;='Asumsi &amp; Bobot'!$C$15,"Mendapat Bonus","Tidak Mendapat Bonus")</f>
        <v>Tidak Mendapat Bonus</v>
      </c>
      <c r="H371" s="26">
        <f t="shared" si="5"/>
        <v>0</v>
      </c>
      <c r="I371" s="20">
        <f>IF(G371="Mendapat Bonus",H371*'Asumsi &amp; Bobot'!$C$16,0)</f>
        <v>0</v>
      </c>
    </row>
    <row r="372" spans="1:9" ht="15" customHeight="1" x14ac:dyDescent="0.35">
      <c r="A372" s="22">
        <f>'Vektor S &amp; V'!J372</f>
        <v>101</v>
      </c>
      <c r="B372" s="8" t="str">
        <f>'Vektor S &amp; V'!B372</f>
        <v>Director of Operations</v>
      </c>
      <c r="C372" s="11" t="str">
        <f>'Data Mentah'!C372</f>
        <v>Master's</v>
      </c>
      <c r="D372" s="23">
        <f>'Data Mentah'!E372</f>
        <v>19</v>
      </c>
      <c r="E372" s="24">
        <f>'Data Mentah'!F372</f>
        <v>170000</v>
      </c>
      <c r="F372" s="27">
        <f>'Vektor S &amp; V'!I372</f>
        <v>3.6737248040744699E-3</v>
      </c>
      <c r="G372" s="11" t="str">
        <f>IF(F372&gt;='Asumsi &amp; Bobot'!$C$15,"Mendapat Bonus","Tidak Mendapat Bonus")</f>
        <v>Tidak Mendapat Bonus</v>
      </c>
      <c r="H372" s="27">
        <f t="shared" si="5"/>
        <v>0</v>
      </c>
      <c r="I372" s="24">
        <f>IF(G372="Mendapat Bonus",H372*'Asumsi &amp; Bobot'!$C$16,0)</f>
        <v>0</v>
      </c>
    </row>
    <row r="373" spans="1:9" ht="15" customHeight="1" x14ac:dyDescent="0.35">
      <c r="A373" s="18">
        <f>'Vektor S &amp; V'!J373</f>
        <v>302</v>
      </c>
      <c r="B373" s="17" t="str">
        <f>'Vektor S &amp; V'!B373</f>
        <v>Junior Project Manager</v>
      </c>
      <c r="C373" s="14" t="str">
        <f>'Data Mentah'!C373</f>
        <v>Bachelor's</v>
      </c>
      <c r="D373" s="19">
        <f>'Data Mentah'!E373</f>
        <v>2</v>
      </c>
      <c r="E373" s="20">
        <f>'Data Mentah'!F373</f>
        <v>40000</v>
      </c>
      <c r="F373" s="26">
        <f>'Vektor S &amp; V'!I373</f>
        <v>1.5753991877227921E-3</v>
      </c>
      <c r="G373" s="14" t="str">
        <f>IF(F373&gt;='Asumsi &amp; Bobot'!$C$15,"Mendapat Bonus","Tidak Mendapat Bonus")</f>
        <v>Tidak Mendapat Bonus</v>
      </c>
      <c r="H373" s="26">
        <f t="shared" si="5"/>
        <v>0</v>
      </c>
      <c r="I373" s="20">
        <f>IF(G373="Mendapat Bonus",H373*'Asumsi &amp; Bobot'!$C$16,0)</f>
        <v>0</v>
      </c>
    </row>
    <row r="374" spans="1:9" ht="15" customHeight="1" x14ac:dyDescent="0.35">
      <c r="A374" s="22">
        <f>'Vektor S &amp; V'!J374</f>
        <v>272</v>
      </c>
      <c r="B374" s="8" t="str">
        <f>'Vektor S &amp; V'!B374</f>
        <v>Senior Operations Coordinator</v>
      </c>
      <c r="C374" s="11" t="str">
        <f>'Data Mentah'!C374</f>
        <v>Bachelor's</v>
      </c>
      <c r="D374" s="23">
        <f>'Data Mentah'!E374</f>
        <v>7</v>
      </c>
      <c r="E374" s="24">
        <f>'Data Mentah'!F374</f>
        <v>90000</v>
      </c>
      <c r="F374" s="27">
        <f>'Vektor S &amp; V'!I374</f>
        <v>1.7358769968214675E-3</v>
      </c>
      <c r="G374" s="11" t="str">
        <f>IF(F374&gt;='Asumsi &amp; Bobot'!$C$15,"Mendapat Bonus","Tidak Mendapat Bonus")</f>
        <v>Tidak Mendapat Bonus</v>
      </c>
      <c r="H374" s="27">
        <f t="shared" si="5"/>
        <v>0</v>
      </c>
      <c r="I374" s="24">
        <f>IF(G374="Mendapat Bonus",H374*'Asumsi &amp; Bobot'!$C$16,0)</f>
        <v>0</v>
      </c>
    </row>
    <row r="375" spans="1:9" ht="15" customHeight="1" x14ac:dyDescent="0.35">
      <c r="A375" s="18">
        <f>'Vektor S &amp; V'!J375</f>
        <v>21</v>
      </c>
      <c r="B375" s="17" t="str">
        <f>'Vektor S &amp; V'!B375</f>
        <v>Senior Business Analyst</v>
      </c>
      <c r="C375" s="14" t="str">
        <f>'Data Mentah'!C375</f>
        <v>PhD</v>
      </c>
      <c r="D375" s="19">
        <f>'Data Mentah'!E375</f>
        <v>15</v>
      </c>
      <c r="E375" s="20">
        <f>'Data Mentah'!F375</f>
        <v>150000</v>
      </c>
      <c r="F375" s="26">
        <f>'Vektor S &amp; V'!I375</f>
        <v>4.8024443715053875E-3</v>
      </c>
      <c r="G375" s="14" t="str">
        <f>IF(F375&gt;='Asumsi &amp; Bobot'!$C$15,"Mendapat Bonus","Tidak Mendapat Bonus")</f>
        <v>Mendapat Bonus</v>
      </c>
      <c r="H375" s="26">
        <f t="shared" si="5"/>
        <v>1.4530933387824784E-2</v>
      </c>
      <c r="I375" s="20">
        <f>IF(G375="Mendapat Bonus",H375*'Asumsi &amp; Bobot'!$C$16,0)</f>
        <v>726.54666939123922</v>
      </c>
    </row>
    <row r="376" spans="1:9" ht="15" customHeight="1" x14ac:dyDescent="0.35">
      <c r="A376" s="1" t="s">
        <v>221</v>
      </c>
      <c r="B376" s="1"/>
      <c r="C376" s="1"/>
      <c r="D376" s="1"/>
      <c r="E376" s="1"/>
      <c r="F376" s="1"/>
      <c r="G376" s="28" t="str">
        <f>COUNTIF($G$3:$G$375,"Mendapat Bonus")&amp;" karyawan"</f>
        <v>72 karyawan</v>
      </c>
      <c r="I376" s="29">
        <f>SUM(I3:I375)</f>
        <v>50000</v>
      </c>
    </row>
  </sheetData>
  <mergeCells count="2">
    <mergeCell ref="A1:I1"/>
    <mergeCell ref="A376:F37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showGridLines="0" zoomScaleNormal="100" workbookViewId="0"/>
  </sheetViews>
  <sheetFormatPr defaultColWidth="8.6328125" defaultRowHeight="14.5" x14ac:dyDescent="0.35"/>
  <cols>
    <col min="1" max="1" width="34" customWidth="1"/>
    <col min="2" max="2" width="22" customWidth="1"/>
    <col min="3" max="3" width="14" customWidth="1"/>
  </cols>
  <sheetData>
    <row r="1" spans="1:3" ht="30" customHeight="1" x14ac:dyDescent="0.35">
      <c r="A1" s="6" t="s">
        <v>222</v>
      </c>
      <c r="B1" s="6"/>
      <c r="C1" s="6"/>
    </row>
    <row r="3" spans="1:3" ht="15" customHeight="1" x14ac:dyDescent="0.35">
      <c r="A3" s="30" t="s">
        <v>223</v>
      </c>
      <c r="B3" s="30" t="s">
        <v>224</v>
      </c>
      <c r="C3" s="30" t="s">
        <v>225</v>
      </c>
    </row>
    <row r="4" spans="1:3" ht="21.75" customHeight="1" x14ac:dyDescent="0.35">
      <c r="A4" s="31" t="s">
        <v>226</v>
      </c>
      <c r="B4" s="32">
        <f>COUNTA('Data Mentah'!A3:A375)</f>
        <v>373</v>
      </c>
      <c r="C4" s="33" t="s">
        <v>227</v>
      </c>
    </row>
    <row r="5" spans="1:3" ht="21.75" customHeight="1" x14ac:dyDescent="0.35">
      <c r="A5" s="8" t="s">
        <v>228</v>
      </c>
      <c r="B5" s="22">
        <f>COUNTIF('Hasil &amp; Bonus'!$G$3:$G$375,"Mendapat Bonus")</f>
        <v>72</v>
      </c>
      <c r="C5" s="33" t="s">
        <v>227</v>
      </c>
    </row>
    <row r="6" spans="1:3" ht="21.75" customHeight="1" x14ac:dyDescent="0.35">
      <c r="A6" s="31" t="s">
        <v>17</v>
      </c>
      <c r="B6" s="34">
        <f>'Asumsi &amp; Bobot'!C16</f>
        <v>50000</v>
      </c>
      <c r="C6" s="33" t="s">
        <v>229</v>
      </c>
    </row>
    <row r="7" spans="1:3" ht="21.75" customHeight="1" x14ac:dyDescent="0.35">
      <c r="A7" s="8" t="s">
        <v>230</v>
      </c>
      <c r="B7" s="24">
        <f>SUM('Hasil &amp; Bonus'!I3:I375)</f>
        <v>50000</v>
      </c>
      <c r="C7" s="33" t="s">
        <v>229</v>
      </c>
    </row>
    <row r="8" spans="1:3" ht="21.75" customHeight="1" x14ac:dyDescent="0.35">
      <c r="A8" s="31" t="s">
        <v>231</v>
      </c>
      <c r="B8" s="34">
        <f>MAX('Hasil &amp; Bonus'!I3:I375)</f>
        <v>844.47435427848666</v>
      </c>
      <c r="C8" s="33" t="s">
        <v>229</v>
      </c>
    </row>
    <row r="9" spans="1:3" ht="21.75" customHeight="1" x14ac:dyDescent="0.35">
      <c r="A9" s="8" t="s">
        <v>232</v>
      </c>
      <c r="B9" s="24">
        <f ca="1">IFERROR(_xludf.aggregate(5,6,('Hasil &amp; Bonus'!I3:I375)*('Hasil &amp; Bonus'!G3:G375="Mendapat Bonus")),0)</f>
        <v>0</v>
      </c>
      <c r="C9" s="33" t="s">
        <v>229</v>
      </c>
    </row>
    <row r="10" spans="1:3" ht="21.75" customHeight="1" x14ac:dyDescent="0.35">
      <c r="A10" s="31" t="s">
        <v>233</v>
      </c>
      <c r="B10" s="35">
        <f>MAX('Vektor S &amp; V'!I3:I375)</f>
        <v>5.5819416431754244E-3</v>
      </c>
      <c r="C10" s="33" t="s">
        <v>234</v>
      </c>
    </row>
    <row r="11" spans="1:3" ht="21.75" customHeight="1" x14ac:dyDescent="0.35">
      <c r="A11" s="8" t="s">
        <v>235</v>
      </c>
      <c r="B11" s="36">
        <f>'Asumsi &amp; Bobot'!C15</f>
        <v>4.0000000000000001E-3</v>
      </c>
      <c r="C11" s="33" t="s">
        <v>236</v>
      </c>
    </row>
    <row r="13" spans="1:3" ht="9.75" customHeight="1" x14ac:dyDescent="0.35"/>
    <row r="14" spans="1:3" ht="15" customHeight="1" x14ac:dyDescent="0.35">
      <c r="A14" s="4" t="s">
        <v>237</v>
      </c>
      <c r="B14" s="4"/>
      <c r="C14" s="4"/>
    </row>
    <row r="15" spans="1:3" ht="15" customHeight="1" x14ac:dyDescent="0.35">
      <c r="A15" s="7" t="s">
        <v>238</v>
      </c>
      <c r="B15" s="7" t="s">
        <v>213</v>
      </c>
      <c r="C15" s="7" t="s">
        <v>239</v>
      </c>
    </row>
    <row r="16" spans="1:3" ht="19.5" customHeight="1" x14ac:dyDescent="0.35">
      <c r="A16" s="8" t="str">
        <f>IFERROR(INDEX('Hasil &amp; Bonus'!$B$3:$B$375,MATCH(1,'Hasil &amp; Bonus'!$A$3:$A$375,0)),"—")</f>
        <v>Director of Human Resources</v>
      </c>
      <c r="B16" s="27">
        <f>IFERROR(INDEX('Hasil &amp; Bonus'!$F$3:$F$375,MATCH(1,'Hasil &amp; Bonus'!$A$3:$A$375,0)),"")</f>
        <v>5.5819416431754244E-3</v>
      </c>
      <c r="C16" s="24">
        <f>IFERROR(INDEX('Hasil &amp; Bonus'!$I$3:$I$375,MATCH(1,'Hasil &amp; Bonus'!$A$3:$A$375,0)),"")</f>
        <v>844.47435427848666</v>
      </c>
    </row>
    <row r="17" spans="1:3" ht="19.5" customHeight="1" x14ac:dyDescent="0.35">
      <c r="A17" s="31" t="str">
        <f>IFERROR(INDEX('Hasil &amp; Bonus'!$B$3:$B$375,MATCH(2,'Hasil &amp; Bonus'!$A$3:$A$375,0)),"—")</f>
        <v>Director of Sales and Marketing</v>
      </c>
      <c r="B17" s="35">
        <f>IFERROR(INDEX('Hasil &amp; Bonus'!$F$3:$F$375,MATCH(2,'Hasil &amp; Bonus'!$A$3:$A$375,0)),"")</f>
        <v>5.4905999277726856E-3</v>
      </c>
      <c r="C17" s="34">
        <f>IFERROR(INDEX('Hasil &amp; Bonus'!$I$3:$I$375,MATCH(2,'Hasil &amp; Bonus'!$A$3:$A$375,0)),"")</f>
        <v>830.65555410745219</v>
      </c>
    </row>
    <row r="18" spans="1:3" ht="19.5" customHeight="1" x14ac:dyDescent="0.35">
      <c r="A18" s="8" t="str">
        <f>IFERROR(INDEX('Hasil &amp; Bonus'!$B$3:$B$375,MATCH(3,'Hasil &amp; Bonus'!$A$3:$A$375,0)),"—")</f>
        <v>—</v>
      </c>
      <c r="B18" s="27" t="str">
        <f>IFERROR(INDEX('Hasil &amp; Bonus'!$F$3:$F$375,MATCH(3,'Hasil &amp; Bonus'!$A$3:$A$375,0)),"")</f>
        <v/>
      </c>
      <c r="C18" s="24" t="str">
        <f>IFERROR(INDEX('Hasil &amp; Bonus'!$I$3:$I$375,MATCH(3,'Hasil &amp; Bonus'!$A$3:$A$375,0)),"")</f>
        <v/>
      </c>
    </row>
    <row r="19" spans="1:3" ht="19.5" customHeight="1" x14ac:dyDescent="0.35">
      <c r="A19" s="31" t="str">
        <f>IFERROR(INDEX('Hasil &amp; Bonus'!$B$3:$B$375,MATCH(4,'Hasil &amp; Bonus'!$A$3:$A$375,0)),"—")</f>
        <v>—</v>
      </c>
      <c r="B19" s="35" t="str">
        <f>IFERROR(INDEX('Hasil &amp; Bonus'!$F$3:$F$375,MATCH(4,'Hasil &amp; Bonus'!$A$3:$A$375,0)),"")</f>
        <v/>
      </c>
      <c r="C19" s="34" t="str">
        <f>IFERROR(INDEX('Hasil &amp; Bonus'!$I$3:$I$375,MATCH(4,'Hasil &amp; Bonus'!$A$3:$A$375,0)),"")</f>
        <v/>
      </c>
    </row>
    <row r="20" spans="1:3" ht="19.5" customHeight="1" x14ac:dyDescent="0.35">
      <c r="A20" s="8" t="str">
        <f>IFERROR(INDEX('Hasil &amp; Bonus'!$B$3:$B$375,MATCH(5,'Hasil &amp; Bonus'!$A$3:$A$375,0)),"—")</f>
        <v>Senior Product Designer</v>
      </c>
      <c r="B20" s="27">
        <f>IFERROR(INDEX('Hasil &amp; Bonus'!$F$3:$F$375,MATCH(5,'Hasil &amp; Bonus'!$A$3:$A$375,0)),"")</f>
        <v>5.055349958386102E-3</v>
      </c>
      <c r="C20" s="24">
        <f>IFERROR(INDEX('Hasil &amp; Bonus'!$I$3:$I$375,MATCH(5,'Hasil &amp; Bonus'!$A$3:$A$375,0)),"")</f>
        <v>764.8079583525149</v>
      </c>
    </row>
    <row r="21" spans="1:3" ht="19.5" customHeight="1" x14ac:dyDescent="0.35">
      <c r="A21" s="31" t="str">
        <f>IFERROR(INDEX('Hasil &amp; Bonus'!$B$3:$B$375,MATCH(6,'Hasil &amp; Bonus'!$A$3:$A$375,0)),"—")</f>
        <v>Senior HR Manager</v>
      </c>
      <c r="B21" s="35">
        <f>IFERROR(INDEX('Hasil &amp; Bonus'!$F$3:$F$375,MATCH(6,'Hasil &amp; Bonus'!$A$3:$A$375,0)),"")</f>
        <v>5.0218132847510292E-3</v>
      </c>
      <c r="C21" s="34">
        <f>IFERROR(INDEX('Hasil &amp; Bonus'!$I$3:$I$375,MATCH(6,'Hasil &amp; Bonus'!$A$3:$A$375,0)),"")</f>
        <v>759.73430072170606</v>
      </c>
    </row>
    <row r="22" spans="1:3" ht="19.5" customHeight="1" x14ac:dyDescent="0.35">
      <c r="A22" s="8" t="str">
        <f>IFERROR(INDEX('Hasil &amp; Bonus'!$B$3:$B$375,MATCH(7,'Hasil &amp; Bonus'!$A$3:$A$375,0)),"—")</f>
        <v>Senior Marketing Manager</v>
      </c>
      <c r="B22" s="27">
        <f>IFERROR(INDEX('Hasil &amp; Bonus'!$F$3:$F$375,MATCH(7,'Hasil &amp; Bonus'!$A$3:$A$375,0)),"")</f>
        <v>5.0112558667514788E-3</v>
      </c>
      <c r="C22" s="24">
        <f>IFERROR(INDEX('Hasil &amp; Bonus'!$I$3:$I$375,MATCH(7,'Hasil &amp; Bonus'!$A$3:$A$375,0)),"")</f>
        <v>758.13710223452404</v>
      </c>
    </row>
    <row r="23" spans="1:3" ht="19.5" customHeight="1" x14ac:dyDescent="0.35">
      <c r="A23" s="31" t="str">
        <f>IFERROR(INDEX('Hasil &amp; Bonus'!$B$3:$B$375,MATCH(8,'Hasil &amp; Bonus'!$A$3:$A$375,0)),"—")</f>
        <v>Senior Marketing Manager</v>
      </c>
      <c r="B23" s="35">
        <f>IFERROR(INDEX('Hasil &amp; Bonus'!$F$3:$F$375,MATCH(8,'Hasil &amp; Bonus'!$A$3:$A$375,0)),"")</f>
        <v>4.9583365924366716E-3</v>
      </c>
      <c r="C23" s="34">
        <f>IFERROR(INDEX('Hasil &amp; Bonus'!$I$3:$I$375,MATCH(8,'Hasil &amp; Bonus'!$A$3:$A$375,0)),"")</f>
        <v>750.1311120499937</v>
      </c>
    </row>
    <row r="24" spans="1:3" ht="19.5" customHeight="1" x14ac:dyDescent="0.35">
      <c r="A24" s="8" t="str">
        <f>IFERROR(INDEX('Hasil &amp; Bonus'!$B$3:$B$375,MATCH(9,'Hasil &amp; Bonus'!$A$3:$A$375,0)),"—")</f>
        <v>Senior Scientist</v>
      </c>
      <c r="B24" s="27">
        <f>IFERROR(INDEX('Hasil &amp; Bonus'!$F$3:$F$375,MATCH(9,'Hasil &amp; Bonus'!$A$3:$A$375,0)),"")</f>
        <v>4.9288381261216579E-3</v>
      </c>
      <c r="C24" s="24">
        <f>IFERROR(INDEX('Hasil &amp; Bonus'!$I$3:$I$375,MATCH(9,'Hasil &amp; Bonus'!$A$3:$A$375,0)),"")</f>
        <v>745.66838207429919</v>
      </c>
    </row>
    <row r="25" spans="1:3" ht="19.5" customHeight="1" x14ac:dyDescent="0.35">
      <c r="A25" s="31" t="str">
        <f>IFERROR(INDEX('Hasil &amp; Bonus'!$B$3:$B$375,MATCH(10,'Hasil &amp; Bonus'!$A$3:$A$375,0)),"—")</f>
        <v>Senior UX Designer</v>
      </c>
      <c r="B25" s="35">
        <f>IFERROR(INDEX('Hasil &amp; Bonus'!$F$3:$F$375,MATCH(10,'Hasil &amp; Bonus'!$A$3:$A$375,0)),"")</f>
        <v>4.8944858094707245E-3</v>
      </c>
      <c r="C25" s="34">
        <f>IFERROR(INDEX('Hasil &amp; Bonus'!$I$3:$I$375,MATCH(10,'Hasil &amp; Bonus'!$A$3:$A$375,0)),"")</f>
        <v>740.47132838291293</v>
      </c>
    </row>
  </sheetData>
  <mergeCells count="2">
    <mergeCell ref="A1:C1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Asumsi &amp; Bobot</vt:lpstr>
      <vt:lpstr>Data Mentah</vt:lpstr>
      <vt:lpstr>Normalisasi</vt:lpstr>
      <vt:lpstr>Vektor S &amp; V</vt:lpstr>
      <vt:lpstr>Hasil &amp; Bonus</vt:lpstr>
      <vt:lpstr>Rangkuman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putri asmiranti</cp:lastModifiedBy>
  <cp:revision>0</cp:revision>
  <dcterms:created xsi:type="dcterms:W3CDTF">2026-05-25T18:10:30Z</dcterms:created>
  <dcterms:modified xsi:type="dcterms:W3CDTF">2026-05-26T04:29:10Z</dcterms:modified>
  <dc:language>en-US</dc:language>
</cp:coreProperties>
</file>